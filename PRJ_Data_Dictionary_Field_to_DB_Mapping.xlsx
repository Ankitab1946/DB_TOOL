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5c8fd0f32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1976862856f74bad"/>
    <x:sheet xmlns:r="http://schemas.openxmlformats.org/officeDocument/2006/relationships" name="01_Field_Mapping" sheetId="2" r:id="R95c7bb3f52514379"/>
    <x:sheet xmlns:r="http://schemas.openxmlformats.org/officeDocument/2006/relationships" name="02_Table_Flow" sheetId="3" r:id="R9a74b94236764df9"/>
    <x:sheet xmlns:r="http://schemas.openxmlformats.org/officeDocument/2006/relationships" name="03_Transformation_Rules" sheetId="4" r:id="R76657657757f4c66"/>
    <x:sheet xmlns:r="http://schemas.openxmlformats.org/officeDocument/2006/relationships" name="04_Reference_Lookups" sheetId="5" r:id="R2bde713934424685"/>
    <x:sheet xmlns:r="http://schemas.openxmlformats.org/officeDocument/2006/relationships" name="05_Example_Lineage" sheetId="6" r:id="R880d26ec05f5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0F6B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18f515c914e9e" /><Relationship Type="http://schemas.openxmlformats.org/officeDocument/2006/relationships/theme" Target="/xl/theme/theme1.xml" Id="Rd6fd8fb2a00740f4" /><Relationship Type="http://schemas.openxmlformats.org/officeDocument/2006/relationships/sharedStrings" Target="/xl/sharedStrings.xml" Id="R71a13a64719f45ec" /><Relationship Type="http://schemas.openxmlformats.org/officeDocument/2006/relationships/worksheet" Target="/xl/worksheets/sheet1.xml" Id="R1976862856f74bad" /><Relationship Type="http://schemas.openxmlformats.org/officeDocument/2006/relationships/worksheet" Target="/xl/worksheets/sheet2.xml" Id="R95c7bb3f52514379" /><Relationship Type="http://schemas.openxmlformats.org/officeDocument/2006/relationships/worksheet" Target="/xl/worksheets/sheet3.xml" Id="R9a74b94236764df9" /><Relationship Type="http://schemas.openxmlformats.org/officeDocument/2006/relationships/worksheet" Target="/xl/worksheets/sheet4.xml" Id="R76657657757f4c66" /><Relationship Type="http://schemas.openxmlformats.org/officeDocument/2006/relationships/worksheet" Target="/xl/worksheets/sheet5.xml" Id="R2bde713934424685" /><Relationship Type="http://schemas.openxmlformats.org/officeDocument/2006/relationships/worksheet" Target="/xl/worksheets/sheet6.xml" Id="R880d26ec05f54ef5" /></Relationships>
</file>

<file path=xl/tables/table1.xml><?xml version="1.0" encoding="utf-8"?>
<x:table xmlns:x="http://schemas.openxmlformats.org/spreadsheetml/2006/main" id="1" name="FieldMappingTable" displayName="FieldMappingTable" ref="A4:S29" headerRowCount="1" totalsRowCount="0" totalsRowShown="0">
  <x:tableColumns count="19">
    <x:tableColumn id="1" name="Data Dictionary Field"/>
    <x:tableColumn id="2" name="Excel Header"/>
    <x:tableColumn id="3" name="UI / Input Source"/>
    <x:tableColumn id="4" name="Input Type"/>
    <x:tableColumn id="5" name="Logical / API Field"/>
    <x:tableColumn id="6" name="Raw DB Column"/>
    <x:tableColumn id="7" name="Staging Master"/>
    <x:tableColumn id="8" name="Staging Business Rules"/>
    <x:tableColumn id="9" name="Staging Display"/>
    <x:tableColumn id="10" name="Final Master"/>
    <x:tableColumn id="11" name="Final Business Rules"/>
    <x:tableColumn id="12" name="Final Display"/>
    <x:tableColumn id="13" name="Reference / Lookup"/>
    <x:tableColumn id="14" name="Mandatory?"/>
    <x:tableColumn id="15" name="Default"/>
    <x:tableColumn id="16" name="Transformation / Business Logic"/>
    <x:tableColumn id="17" name="Example"/>
    <x:tableColumn id="18" name="PostgreSQL Note"/>
    <x:tableColumn id="19" name="SQL Server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FlowTable" displayName="TableFlowTable" ref="A4:K14" headerRowCount="1" totalsRowCount="0" totalsRowShown="0">
  <x:tableColumns count="11">
    <x:tableColumn id="1" name="Layer"/>
    <x:tableColumn id="2" name="Logical Purpose"/>
    <x:tableColumn id="3" name="PostgreSQL Schema"/>
    <x:tableColumn id="4" name="Default Table Name"/>
    <x:tableColumn id="5" name="SQL Server Schema"/>
    <x:tableColumn id="6" name="SQL Server Default Table"/>
    <x:tableColumn id="7" name="Primary Key"/>
    <x:tableColumn id="8" name="Key Relationships"/>
    <x:tableColumn id="9" name="Updated When"/>
    <x:tableColumn id="10" name="UI-Renamable?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formationRulesTable" displayName="TransformationRulesTable" ref="A4:G21" headerRowCount="1" totalsRowCount="0" totalsRowShown="0">
  <x:tableColumns count="7">
    <x:tableColumn id="1" name="Rule ID"/>
    <x:tableColumn id="2" name="Area"/>
    <x:tableColumn id="3" name="Trigger / Input"/>
    <x:tableColumn id="4" name="Rule"/>
    <x:tableColumn id="5" name="Result"/>
    <x:tableColumn id="6" name="Example"/>
    <x:tableColumn id="7" name="Failure / Validation Behavi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LookupTable" displayName="ReferenceLookupTable" ref="A4:G7" headerRowCount="1" totalsRowCount="0" totalsRowShown="0">
  <x:tableColumns count="7">
    <x:tableColumn id="1" name="Lookup"/>
    <x:tableColumn id="2" name="PostgreSQL Table"/>
    <x:tableColumn id="3" name="SQL Server Table"/>
    <x:tableColumn id="4" name="Display Column(s)"/>
    <x:tableColumn id="5" name="Stored Column"/>
    <x:tableColumn id="6" name="Used By"/>
    <x:tableColumn id="7" name="Logic /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edExampleTable" displayName="WorkedExampleTable" ref="A4:H9" headerRowCount="1" totalsRowCount="0" totalsRowShown="0">
  <x:tableColumns count="8">
    <x:tableColumn id="1" name="Stage"/>
    <x:tableColumn id="2" name="Input / Value"/>
    <x:tableColumn id="3" name="Master"/>
    <x:tableColumn id="4" name="Business Rules"/>
    <x:tableColumn id="5" name="Display"/>
    <x:tableColumn id="6" name="Reference Resolution"/>
    <x:tableColumn id="7" name="Logic"/>
    <x:tableColumn id="8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4dc1052b904f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522699b62145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2a06905cdf4e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ed66479890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ef04d484db40a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22" hidden="0" customWidth="1"/>
    <x:col min="5" max="5" width="4" hidden="0" customWidth="1"/>
    <x:col min="6" max="6" width="20" hidden="0" customWidth="1"/>
    <x:col min="7" max="7" width="24" hidden="0" customWidth="1"/>
    <x:col min="8" max="8" width="28" hidden="0" customWidth="1"/>
  </x:cols>
  <x:sheetData>
    <x:row r="1" ht="28" customHeight="1">
      <x:c r="A1" s="36" t="str">
        <x:v>PRJ Data Dictionary – Data-to-Database Mapping</x:v>
      </x:c>
      <x:c r="B1" s="36"/>
      <x:c r="C1" s="36"/>
      <x:c r="D1" s="36"/>
      <x:c r="E1" s="36"/>
      <x:c r="F1" s="36"/>
      <x:c r="G1" s="36"/>
      <x:c r="H1" s="36"/>
    </x:row>
    <x:row r="2" ht="28" customHeight="1">
      <x:c r="A2" s="36"/>
      <x:c r="B2" s="36"/>
      <x:c r="C2" s="36"/>
      <x:c r="D2" s="36"/>
      <x:c r="E2" s="36"/>
      <x:c r="F2" s="36"/>
      <x:c r="G2" s="36"/>
      <x:c r="H2" s="36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37" t="str">
        <x:v>Purpose</x:v>
      </x:c>
      <x:c r="B4" s="37"/>
      <x:c r="C4" s="37"/>
      <x:c r="D4" s="37"/>
      <x:c r="E4" s="37"/>
      <x:c r="F4" s="37"/>
      <x:c r="G4" s="37"/>
      <x:c r="H4" s="37"/>
    </x:row>
    <x:row r="5">
      <x:c r="A5" s="19" t="str">
        <x:v>This workbook documents how Data Dictionary fields move from UI/Excel input through Raw, Staging and Final tables, including reference lookups, defaulting, transformation rules, key relationships and PostgreSQL/SQL Server differences. It reflects the current Business Rules / Attribute Display split and configurable staging/final target-table basenames.</x:v>
      </x:c>
      <x:c r="B5" s="19"/>
      <x:c r="C5" s="19"/>
      <x:c r="D5" s="19"/>
      <x:c r="E5" s="19"/>
      <x:c r="F5" s="19"/>
      <x:c r="G5" s="19"/>
      <x:c r="H5" s="19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8">
      <x:c r="A8" s="18"/>
      <x:c r="B8" s="18"/>
      <x:c r="C8" s="18"/>
      <x:c r="D8" s="18"/>
      <x:c r="E8" s="18"/>
      <x:c r="F8" s="18"/>
      <x:c r="G8" s="18"/>
      <x:c r="H8" s="18"/>
    </x:row>
    <x:row r="9">
      <x:c r="A9" s="26" t="str">
        <x:v>Metric</x:v>
      </x:c>
      <x:c r="B9" s="26" t="str">
        <x:v>Value</x:v>
      </x:c>
      <x:c r="C9" s="26" t="str">
        <x:v>Meaning</x:v>
      </x:c>
      <x:c r="D9" s="26" t="str">
        <x:v>Source</x:v>
      </x:c>
      <x:c r="E9" s="18"/>
      <x:c r="F9" s="26" t="str">
        <x:v>Layer</x:v>
      </x:c>
      <x:c r="G9" s="26" t="str">
        <x:v>PostgreSQL Schema</x:v>
      </x:c>
      <x:c r="H9" s="26" t="str">
        <x:v>Update Behavior</x:v>
      </x:c>
    </x:row>
    <x:row r="10">
      <x:c r="A10" s="18" t="str">
        <x:v>Mapped Data Dictionary Fields</x:v>
      </x:c>
      <x:c r="B10" s="18" t="n">
        <x:f>COUNTA('01_Field_Mapping'!A5:A200)</x:f>
        <x:v>25</x:v>
      </x:c>
      <x:c r="C10" s="18" t="str">
        <x:v>Documented business/system fields</x:v>
      </x:c>
      <x:c r="D10" s="18" t="str">
        <x:v>01_Field_Mapping</x:v>
      </x:c>
      <x:c r="E10" s="18"/>
      <x:c r="F10" s="18" t="str">
        <x:v>Reference</x:v>
      </x:c>
      <x:c r="G10" s="18" t="str">
        <x:v>prj_dbd</x:v>
      </x:c>
      <x:c r="H10" s="18" t="str">
        <x:v>Read/reference maintenance</x:v>
      </x:c>
    </x:row>
    <x:row r="11">
      <x:c r="A11" s="18" t="str">
        <x:v>Excel-Supplied Fields</x:v>
      </x:c>
      <x:c r="B11" s="18" t="n">
        <x:f>COUNTA('01_Field_Mapping'!B5:B200)-COUNTIF('01_Field_Mapping'!B5:B200,"—")</x:f>
        <x:v>18</x:v>
      </x:c>
      <x:c r="C11" s="18" t="str">
        <x:v>Fields directly or indirectly supplied from UI/Excel</x:v>
      </x:c>
      <x:c r="D11" s="18" t="str">
        <x:v>01_Field_Mapping</x:v>
      </x:c>
      <x:c r="E11" s="18"/>
      <x:c r="F11" s="18" t="str">
        <x:v>Raw</x:v>
      </x:c>
      <x:c r="G11" s="18" t="str">
        <x:v>prj_dbd</x:v>
      </x:c>
      <x:c r="H11" s="18" t="str">
        <x:v>Create/Edit/Bulk intake</x:v>
      </x:c>
    </x:row>
    <x:row r="12">
      <x:c r="A12" s="18" t="str">
        <x:v>Derived / System Fields</x:v>
      </x:c>
      <x:c r="B12" s="18" t="n">
        <x:f>COUNTIF('01_Field_Mapping'!D5:D200,"Derived")+COUNTIF('01_Field_Mapping'!D5:D200,"System / Key")+COUNTIF('01_Field_Mapping'!D5:D200,"System")+COUNTIF('01_Field_Mapping'!D5:D200,"System Audit")+COUNTIF('01_Field_Mapping'!D5:D200,"Input / Derived")+COUNTIF('01_Field_Mapping'!D5:D200,"Input / Generated")</x:f>
        <x:v>11</x:v>
      </x:c>
      <x:c r="C12" s="18" t="str">
        <x:v>Application/database generated fields</x:v>
      </x:c>
      <x:c r="D12" s="18" t="str">
        <x:v>01_Field_Mapping</x:v>
      </x:c>
      <x:c r="E12" s="18"/>
      <x:c r="F12" s="18" t="str">
        <x:v>Staging</x:v>
      </x:c>
      <x:c r="G12" s="18" t="str">
        <x:v>prj_stage</x:v>
      </x:c>
      <x:c r="H12" s="18" t="str">
        <x:v>Updated before Finalize</x:v>
      </x:c>
    </x:row>
    <x:row r="13">
      <x:c r="A13" s="18" t="str">
        <x:v>Fields With Defaults</x:v>
      </x:c>
      <x:c r="B13" s="18" t="n">
        <x:f>COUNTA('01_Field_Mapping'!O5:O200)-COUNTIF('01_Field_Mapping'!O5:O200,"None")-COUNTIF('01_Field_Mapping'!O5:O200,"NULL")</x:f>
        <x:v>19</x:v>
      </x:c>
      <x:c r="C13" s="18" t="str">
        <x:v>Fields with explicit default/fallback behavior</x:v>
      </x:c>
      <x:c r="D13" s="18" t="str">
        <x:v>01_Field_Mapping</x:v>
      </x:c>
      <x:c r="E13" s="18"/>
      <x:c r="F13" s="18" t="str">
        <x:v>Final</x:v>
      </x:c>
      <x:c r="G13" s="18" t="str">
        <x:v>prj_dbd / PG_SCHEMA</x:v>
      </x:c>
      <x:c r="H13" s="18" t="str">
        <x:v>Updated only on Finalize</x:v>
      </x:c>
    </x:row>
    <x:row r="14">
      <x:c r="A14" s="18" t="str">
        <x:v>Core Table Roles</x:v>
      </x:c>
      <x:c r="B14" s="18" t="n">
        <x:f>COUNTA('02_Table_Flow'!A5:A50)</x:f>
        <x:v>10</x:v>
      </x:c>
      <x:c r="C14" s="18" t="str">
        <x:v>Reference + Raw + Staging + Final + Audit roles</x:v>
      </x:c>
      <x:c r="D14" s="18" t="str">
        <x:v>02_Table_Flow</x:v>
      </x:c>
      <x:c r="E14" s="18"/>
      <x:c r="F14" s="18" t="str">
        <x:v>Audit</x:v>
      </x:c>
      <x:c r="G14" s="18" t="str">
        <x:v>prj_dbd / PG_SCHEMA</x:v>
      </x:c>
      <x:c r="H14" s="18" t="str">
        <x:v>Written on governed publication/changes</x:v>
      </x:c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37" t="str">
        <x:v>End-to-End Lineage</x:v>
      </x:c>
      <x:c r="B17" s="37"/>
      <x:c r="C17" s="37"/>
      <x:c r="D17" s="37"/>
      <x:c r="E17" s="37"/>
      <x:c r="F17" s="37"/>
      <x:c r="G17" s="37"/>
      <x:c r="H17" s="37"/>
    </x:row>
    <x:row r="18">
      <x:c r="A18" s="19" t="str">
        <x:v>UI / Excel  →  Raw (normalized input)  →  Staging Master + Business Rules + Attribute Display  →  Validate &amp; Compare  →  Finalize  →  Final Master + Business Rules + Attribute Display  →  Audit.
Discard Finalize removes only selected pending staging changes and leaves Final data unchanged.</x:v>
      </x:c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  <x:row r="21">
      <x:c r="A21" s="19"/>
      <x:c r="B21" s="19"/>
      <x:c r="C21" s="19"/>
      <x:c r="D21" s="19"/>
      <x:c r="E21" s="19"/>
      <x:c r="F21" s="19"/>
      <x:c r="G21" s="19"/>
      <x:c r="H21" s="19"/>
    </x:row>
    <x:row r="22">
      <x:c r="A22" s="19"/>
      <x:c r="B22" s="19"/>
      <x:c r="C22" s="19"/>
      <x:c r="D22" s="19"/>
      <x:c r="E22" s="19"/>
      <x:c r="F22" s="19"/>
      <x:c r="G22" s="19"/>
      <x:c r="H22" s="19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37" t="str">
        <x:v>Important Naming Convention</x:v>
      </x:c>
      <x:c r="B24" s="37"/>
      <x:c r="C24" s="37"/>
      <x:c r="D24" s="37"/>
      <x:c r="E24" s="37"/>
      <x:c r="F24" s="37"/>
      <x:c r="G24" s="37"/>
      <x:c r="H24" s="37"/>
    </x:row>
    <x:row r="25">
      <x:c r="A25" s="19" t="str">
        <x:v>PostgreSQL uses prj_stage for staging and prj_dbd (or PG_SCHEMA for final/main mapping) for main tables. The six staging/final table basenames can be overridden from the Streamlit sidebar; Raw, Audit, Portfolio and Source reference tables remain fixed. PostgreSQL master uses physical column 'segment', while SQL Server master retains 'where_in_financial_statement'.</x:v>
      </x:c>
      <x:c r="B25" s="19"/>
      <x:c r="C25" s="19"/>
      <x:c r="D25" s="19"/>
      <x:c r="E25" s="19"/>
      <x:c r="F25" s="19"/>
      <x:c r="G25" s="19"/>
      <x:c r="H25" s="19"/>
    </x:row>
    <x:row r="26">
      <x:c r="A26" s="19"/>
      <x:c r="B26" s="19"/>
      <x:c r="C26" s="19"/>
      <x:c r="D26" s="19"/>
      <x:c r="E26" s="19"/>
      <x:c r="F26" s="19"/>
      <x:c r="G26" s="19"/>
      <x:c r="H26" s="19"/>
    </x:row>
    <x:row r="27">
      <x:c r="A27" s="19"/>
      <x:c r="B27" s="19"/>
      <x:c r="C27" s="19"/>
      <x:c r="D27" s="19"/>
      <x:c r="E27" s="19"/>
      <x:c r="F27" s="19"/>
      <x:c r="G27" s="19"/>
      <x:c r="H27" s="19"/>
    </x:row>
    <x:row r="28">
      <x:c r="A28" s="19"/>
      <x:c r="B28" s="19"/>
      <x:c r="C28" s="19"/>
      <x:c r="D28" s="19"/>
      <x:c r="E28" s="19"/>
      <x:c r="F28" s="19"/>
      <x:c r="G28" s="19"/>
      <x:c r="H28" s="19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38" t="str">
        <x:v>Prepared for PRJ Data Dictionary Administration Platform | Generated 2026-09-09 06:35</x:v>
      </x:c>
      <x:c r="B30" s="38"/>
      <x:c r="C30" s="38"/>
      <x:c r="D30" s="38"/>
      <x:c r="E30" s="38"/>
      <x:c r="F30" s="38"/>
      <x:c r="G30" s="38"/>
      <x:c r="H30" s="38"/>
    </x:row>
  </x:sheetData>
  <x:mergeCells>
    <x:mergeCell ref="A1:H2"/>
    <x:mergeCell ref="A4:H4"/>
    <x:mergeCell ref="A5:H7"/>
    <x:mergeCell ref="A17:H17"/>
    <x:mergeCell ref="A18:H22"/>
    <x:mergeCell ref="A24:H24"/>
    <x:mergeCell ref="A25:H28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6" hidden="0" customWidth="1"/>
    <x:col min="4" max="4" width="18" hidden="0" customWidth="1"/>
    <x:col min="5" max="5" width="27" hidden="0" customWidth="1"/>
    <x:col min="6" max="6" width="22" hidden="0" customWidth="1"/>
    <x:col min="7" max="7" width="22" hidden="0" customWidth="1"/>
    <x:col min="8" max="8" width="24" hidden="0" customWidth="1"/>
    <x:col min="9" max="9" width="22" hidden="0" customWidth="1"/>
    <x:col min="10" max="10" width="22" hidden="0" customWidth="1"/>
    <x:col min="11" max="11" width="24" hidden="0" customWidth="1"/>
    <x:col min="12" max="12" width="22" hidden="0" customWidth="1"/>
    <x:col min="13" max="13" width="32" hidden="0" customWidth="1"/>
    <x:col min="14" max="14" width="16" hidden="0" customWidth="1"/>
    <x:col min="15" max="15" width="24" hidden="0" customWidth="1"/>
    <x:col min="16" max="16" width="52" hidden="0" customWidth="1"/>
    <x:col min="17" max="17" width="32" hidden="0" customWidth="1"/>
    <x:col min="18" max="18" width="34" hidden="0" customWidth="1"/>
    <x:col min="19" max="19" width="34" hidden="0" customWidth="1"/>
  </x:cols>
  <x:sheetData>
    <x:row r="1">
      <x:c r="A1" s="5" t="str">
        <x:v>Data Dictionary Field → Database Column Mapping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>
      <x:c r="A3" s="45" t="str">
        <x:v>Default physical table names are documented in 02_Table_Flow. For PostgreSQL, Staging = prj_stage and Final/Main = prj_dbd / PG_SCHEMA.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</x:row>
    <x:row r="4">
      <x:c r="A4" s="26" t="str">
        <x:v>Data Dictionary Field</x:v>
      </x:c>
      <x:c r="B4" s="26" t="str">
        <x:v>Excel Header</x:v>
      </x:c>
      <x:c r="C4" s="26" t="str">
        <x:v>UI / Input Source</x:v>
      </x:c>
      <x:c r="D4" s="26" t="str">
        <x:v>Input Type</x:v>
      </x:c>
      <x:c r="E4" s="26" t="str">
        <x:v>Logical / API Field</x:v>
      </x:c>
      <x:c r="F4" s="26" t="str">
        <x:v>Raw DB Column</x:v>
      </x:c>
      <x:c r="G4" s="26" t="str">
        <x:v>Staging Master</x:v>
      </x:c>
      <x:c r="H4" s="26" t="str">
        <x:v>Staging Business Rules</x:v>
      </x:c>
      <x:c r="I4" s="26" t="str">
        <x:v>Staging Display</x:v>
      </x:c>
      <x:c r="J4" s="26" t="str">
        <x:v>Final Master</x:v>
      </x:c>
      <x:c r="K4" s="26" t="str">
        <x:v>Final Business Rules</x:v>
      </x:c>
      <x:c r="L4" s="26" t="str">
        <x:v>Final Display</x:v>
      </x:c>
      <x:c r="M4" s="26" t="str">
        <x:v>Reference / Lookup</x:v>
      </x:c>
      <x:c r="N4" s="26" t="str">
        <x:v>Mandatory?</x:v>
      </x:c>
      <x:c r="O4" s="26" t="str">
        <x:v>Default</x:v>
      </x:c>
      <x:c r="P4" s="26" t="str">
        <x:v>Transformation / Business Logic</x:v>
      </x:c>
      <x:c r="Q4" s="26" t="str">
        <x:v>Example</x:v>
      </x:c>
      <x:c r="R4" s="26" t="str">
        <x:v>PostgreSQL Note</x:v>
      </x:c>
      <x:c r="S4" s="26" t="str">
        <x:v>SQL Server Note</x:v>
      </x:c>
    </x:row>
    <x:row r="5">
      <x:c r="A5" s="19" t="str">
        <x:v>PRJ ID / CFV ID</x:v>
      </x:c>
      <x:c r="B5" s="19" t="str">
        <x:v>PRJID</x:v>
      </x:c>
      <x:c r="C5" s="19" t="str">
        <x:v>Create UI: auto-generated; Bulk: Excel</x:v>
      </x:c>
      <x:c r="D5" s="19" t="str">
        <x:v>Input / Generated</x:v>
      </x:c>
      <x:c r="E5" s="19" t="str">
        <x:v>prj_id</x:v>
      </x:c>
      <x:c r="F5" s="19" t="str">
        <x:v>prj_id</x:v>
      </x:c>
      <x:c r="G5" s="19" t="str">
        <x:v>prj_id</x:v>
      </x:c>
      <x:c r="H5" s="19" t="str">
        <x:v>prj_id</x:v>
      </x:c>
      <x:c r="I5" s="19" t="str">
        <x:v>prj_id</x:v>
      </x:c>
      <x:c r="J5" s="19" t="str">
        <x:v>prj_id</x:v>
      </x:c>
      <x:c r="K5" s="19" t="str">
        <x:v>prj_id</x:v>
      </x:c>
      <x:c r="L5" s="19" t="str">
        <x:v>prj_id</x:v>
      </x:c>
      <x:c r="M5" s="19" t="str">
        <x:v>—</x:v>
      </x:c>
      <x:c r="N5" s="19" t="str">
        <x:v>Yes</x:v>
      </x:c>
      <x:c r="O5" s="19" t="str">
        <x:v>UI: next PRJ ID; Bulk: none</x:v>
      </x:c>
      <x:c r="P5" s="19" t="str">
        <x:v>UI generates next PRJ ID by checking Raw + Staging Master + Final Master. Bulk upload requires PRJID to be supplied.</x:v>
      </x:c>
      <x:c r="Q5" s="19" t="str">
        <x:v>PRJ1024</x:v>
      </x:c>
      <x:c r="R5" s="19" t="str">
        <x:v>Stored under prj_stage/prj_dbd target tables.</x:v>
      </x:c>
      <x:c r="S5" s="19" t="str">
        <x:v>Stored under stg/dbo target tables.</x:v>
      </x:c>
    </x:row>
    <x:row r="6">
      <x:c r="A6" s="19" t="str">
        <x:v>PRJ Attribute Name</x:v>
      </x:c>
      <x:c r="B6" s="19" t="str">
        <x:v>Attribute Name</x:v>
      </x:c>
      <x:c r="C6" s="19" t="str">
        <x:v>Create/Edit UI + Excel</x:v>
      </x:c>
      <x:c r="D6" s="19" t="str">
        <x:v>Input</x:v>
      </x:c>
      <x:c r="E6" s="19" t="str">
        <x:v>prj_attribute_name</x:v>
      </x:c>
      <x:c r="F6" s="19" t="str">
        <x:v>prj_attribute_name</x:v>
      </x:c>
      <x:c r="G6" s="19" t="str">
        <x:v>prj_attribute_name</x:v>
      </x:c>
      <x:c r="H6" s="19" t="str">
        <x:v>—</x:v>
      </x:c>
      <x:c r="I6" s="19" t="str">
        <x:v>—</x:v>
      </x:c>
      <x:c r="J6" s="19" t="str">
        <x:v>prj_attribute_name</x:v>
      </x:c>
      <x:c r="K6" s="19" t="str">
        <x:v>—</x:v>
      </x:c>
      <x:c r="L6" s="19" t="str">
        <x:v>—</x:v>
      </x:c>
      <x:c r="M6" s="19" t="str">
        <x:v>—</x:v>
      </x:c>
      <x:c r="N6" s="19" t="str">
        <x:v>Yes</x:v>
      </x:c>
      <x:c r="O6" s="19" t="str">
        <x:v>None</x:v>
      </x:c>
      <x:c r="P6" s="19" t="str">
        <x:v>Core master name. Also used as the source for default Display Name and for blank Physical Attribute Name generation.</x:v>
      </x:c>
      <x:c r="Q6" s="19" t="str">
        <x:v>Total Assets</x:v>
      </x:c>
      <x:c r="R6" s="19" t="str">
        <x:v>Same logical mapping.</x:v>
      </x:c>
      <x:c r="S6" s="19" t="str">
        <x:v>Same logical mapping.</x:v>
      </x:c>
    </x:row>
    <x:row r="7">
      <x:c r="A7" s="19" t="str">
        <x:v>PRJ Physical Attribute Name</x:v>
      </x:c>
      <x:c r="B7" s="19" t="str">
        <x:v>PRJ Physical Attribute Name</x:v>
      </x:c>
      <x:c r="C7" s="19" t="str">
        <x:v>UI auto-generated/readonly; Excel optional</x:v>
      </x:c>
      <x:c r="D7" s="19" t="str">
        <x:v>Input / Generated</x:v>
      </x:c>
      <x:c r="E7" s="19" t="str">
        <x:v>prj_physical_attribute_name</x:v>
      </x:c>
      <x:c r="F7" s="19" t="str">
        <x:v>prj_physical_attribute_name</x:v>
      </x:c>
      <x:c r="G7" s="19" t="str">
        <x:v>prj_physical_attribute_name</x:v>
      </x:c>
      <x:c r="H7" s="19" t="str">
        <x:v>—</x:v>
      </x:c>
      <x:c r="I7" s="19" t="str">
        <x:v>—</x:v>
      </x:c>
      <x:c r="J7" s="19" t="str">
        <x:v>prj_physical_attribute_name</x:v>
      </x:c>
      <x:c r="K7" s="19" t="str">
        <x:v>—</x:v>
      </x:c>
      <x:c r="L7" s="19" t="str">
        <x:v>—</x:v>
      </x:c>
      <x:c r="M7" s="19" t="str">
        <x:v>—</x:v>
      </x:c>
      <x:c r="N7" s="19" t="str">
        <x:v>Yes</x:v>
      </x:c>
      <x:c r="O7" s="19" t="str">
        <x:v>Generated if blank</x:v>
      </x:c>
      <x:c r="P7" s="19" t="str">
        <x:v>If blank, generate from Attribute Name; check Raw + selected Staging Master + selected Final Master + current workbook batch before reserving. Explicit supplied duplicates across different PRJ IDs are rejected. Auto-generated collisions get deterministic suffixes (_2, _3, …).</x:v>
      </x:c>
      <x:c r="Q7" s="19" t="str">
        <x:v>Total Assets → tot_assets; if used → tot_assets_2</x:v>
      </x:c>
      <x:c r="R7" s="19" t="str">
        <x:v>Final master has unique physical-name constraint.</x:v>
      </x:c>
      <x:c r="S7" s="19" t="str">
        <x:v>Final master has unique physical-name constraint.</x:v>
      </x:c>
    </x:row>
    <x:row r="8">
      <x:c r="A8" s="19" t="str">
        <x:v>Portfolio / Scope</x:v>
      </x:c>
      <x:c r="B8" s="19" t="str">
        <x:v>Portfolio / Scope</x:v>
      </x:c>
      <x:c r="C8" s="19" t="str">
        <x:v>Create/Edit UI + Excel/sheet selection</x:v>
      </x:c>
      <x:c r="D8" s="19" t="str">
        <x:v>Lookup Input</x:v>
      </x:c>
      <x:c r="E8" s="19" t="str">
        <x:v>portfolio / port_ref_id</x:v>
      </x:c>
      <x:c r="F8" s="19" t="str">
        <x:v>portfolio</x:v>
      </x:c>
      <x:c r="G8" s="19" t="str">
        <x:v>—</x:v>
      </x:c>
      <x:c r="H8" s="19" t="str">
        <x:v>port_ref_id</x:v>
      </x:c>
      <x:c r="I8" s="19" t="str">
        <x:v>—</x:v>
      </x:c>
      <x:c r="J8" s="19" t="str">
        <x:v>—</x:v>
      </x:c>
      <x:c r="K8" s="19" t="str">
        <x:v>port_ref_id</x:v>
      </x:c>
      <x:c r="L8" s="19" t="str">
        <x:v>—</x:v>
      </x:c>
      <x:c r="M8" s="19" t="str">
        <x:v>prj_dbd.prj_portfolio_reference.port_ref_id</x:v>
      </x:c>
      <x:c r="N8" s="19" t="str">
        <x:v>Yes</x:v>
      </x:c>
      <x:c r="O8" s="19" t="str">
        <x:v>Sheet/portfolio selection may supply value</x:v>
      </x:c>
      <x:c r="P8" s="19" t="str">
        <x:v>User-facing Portfolio label is resolved to port_ref_id. PostgreSQL reads authoritative reference data from prj_dbd.prj_portfolio_reference.</x:v>
      </x:c>
      <x:c r="Q8" s="19" t="str">
        <x:v>FI Banks → port_ref_id 1</x:v>
      </x:c>
      <x:c r="R8" s="19" t="str">
        <x:v>Reference: prj_dbd.prj_portfolio_reference.</x:v>
      </x:c>
      <x:c r="S8" s="19" t="str">
        <x:v>Reference: dbo.prj_portfolio_reference_new_test.</x:v>
      </x:c>
    </x:row>
    <x:row r="9">
      <x:c r="A9" s="19" t="str">
        <x:v>Source</x:v>
      </x:c>
      <x:c r="B9" s="19" t="str">
        <x:v>Source</x:v>
      </x:c>
      <x:c r="C9" s="19" t="str">
        <x:v>Create/Edit UI + Excel</x:v>
      </x:c>
      <x:c r="D9" s="19" t="str">
        <x:v>Lookup Input</x:v>
      </x:c>
      <x:c r="E9" s="19" t="str">
        <x:v>source_name / source_abbr_name</x:v>
      </x:c>
      <x:c r="F9" s="19" t="str">
        <x:v>—</x:v>
      </x:c>
      <x:c r="G9" s="19" t="str">
        <x:v>—</x:v>
      </x:c>
      <x:c r="H9" s="19" t="str">
        <x:v>source_abbr_name</x:v>
      </x:c>
      <x:c r="I9" s="19" t="str">
        <x:v>—</x:v>
      </x:c>
      <x:c r="J9" s="19" t="str">
        <x:v>—</x:v>
      </x:c>
      <x:c r="K9" s="19" t="str">
        <x:v>source_abbr_name</x:v>
      </x:c>
      <x:c r="L9" s="19" t="str">
        <x:v>—</x:v>
      </x:c>
      <x:c r="M9" s="19" t="str">
        <x:v>prj_dbd.prj_data_sources.source_code</x:v>
      </x:c>
      <x:c r="N9" s="19" t="str">
        <x:v>Yes</x:v>
      </x:c>
      <x:c r="O9" s="19" t="str">
        <x:v>Configured/default source may apply</x:v>
      </x:c>
      <x:c r="P9" s="19" t="str">
        <x:v>Dropdown is populated from source_code/source_name; Business Rules stores source_code as source_abbr_name.</x:v>
      </x:c>
      <x:c r="Q9" s="19" t="str">
        <x:v>SNPAR[S&amp;P Source] → SNPAR</x:v>
      </x:c>
      <x:c r="R9" s="19" t="str">
        <x:v>Reference: prj_dbd.prj_data_sources.</x:v>
      </x:c>
      <x:c r="S9" s="19" t="str">
        <x:v>Reference: dbo.prj_data_sources.</x:v>
      </x:c>
    </x:row>
    <x:row r="10">
      <x:c r="A10" s="19" t="str">
        <x:v>Section</x:v>
      </x:c>
      <x:c r="B10" s="19" t="str">
        <x:v>Section</x:v>
      </x:c>
      <x:c r="C10" s="19" t="str">
        <x:v>Create/Edit UI + Excel</x:v>
      </x:c>
      <x:c r="D10" s="19" t="str">
        <x:v>Input / Scope</x:v>
      </x:c>
      <x:c r="E10" s="19" t="str">
        <x:v>section</x:v>
      </x:c>
      <x:c r="F10" s="19" t="str">
        <x:v>section</x:v>
      </x:c>
      <x:c r="G10" s="19" t="str">
        <x:v>—</x:v>
      </x:c>
      <x:c r="H10" s="19" t="str">
        <x:v>—</x:v>
      </x:c>
      <x:c r="I10" s="19" t="str">
        <x:v>section</x:v>
      </x:c>
      <x:c r="J10" s="19" t="str">
        <x:v>—</x:v>
      </x:c>
      <x:c r="K10" s="19" t="str">
        <x:v>—</x:v>
      </x:c>
      <x:c r="L10" s="19" t="str">
        <x:v>section</x:v>
      </x:c>
      <x:c r="M10" s="19" t="str">
        <x:v>—</x:v>
      </x:c>
      <x:c r="N10" s="19" t="str">
        <x:v>Bulk: No; UI: Yes</x:v>
      </x:c>
      <x:c r="O10" s="19" t="str">
        <x:v>N/A for blank bulk cells</x:v>
      </x:c>
      <x:c r="P10" s="19" t="str">
        <x:v>Blank Excel values normalize to literal N/A. Pipe-separated values create positional scope rows; one value can broadcast across multiple values on the other side.</x:v>
      </x:c>
      <x:c r="Q10" s="19" t="str">
        <x:v>Assets|Liabilities</x:v>
      </x:c>
      <x:c r="R10" s="19" t="str">
        <x:v>Stored in Attribute Display.</x:v>
      </x:c>
      <x:c r="S10" s="19" t="str">
        <x:v>Stored in Attribute Display.</x:v>
      </x:c>
    </x:row>
    <x:row r="11">
      <x:c r="A11" s="19" t="str">
        <x:v>Sub-Section</x:v>
      </x:c>
      <x:c r="B11" s="19" t="str">
        <x:v>Sub-Section</x:v>
      </x:c>
      <x:c r="C11" s="19" t="str">
        <x:v>Create/Edit UI + Excel</x:v>
      </x:c>
      <x:c r="D11" s="19" t="str">
        <x:v>Input / Scope</x:v>
      </x:c>
      <x:c r="E11" s="19" t="str">
        <x:v>sub_section / subsection</x:v>
      </x:c>
      <x:c r="F11" s="19" t="str">
        <x:v>sub_section</x:v>
      </x:c>
      <x:c r="G11" s="19" t="str">
        <x:v>—</x:v>
      </x:c>
      <x:c r="H11" s="19" t="str">
        <x:v>—</x:v>
      </x:c>
      <x:c r="I11" s="19" t="str">
        <x:v>subsection</x:v>
      </x:c>
      <x:c r="J11" s="19" t="str">
        <x:v>—</x:v>
      </x:c>
      <x:c r="K11" s="19" t="str">
        <x:v>—</x:v>
      </x:c>
      <x:c r="L11" s="19" t="str">
        <x:v>subsection</x:v>
      </x:c>
      <x:c r="M11" s="19" t="str">
        <x:v>—</x:v>
      </x:c>
      <x:c r="N11" s="19" t="str">
        <x:v>Bulk: No; UI: Yes</x:v>
      </x:c>
      <x:c r="O11" s="19" t="str">
        <x:v>N/A for blank bulk cells</x:v>
      </x:c>
      <x:c r="P11" s="19" t="str">
        <x:v>Blank Excel values normalize to literal N/A. Paired positionally with Section; one value can broadcast across the other side.</x:v>
      </x:c>
      <x:c r="Q11" s="19" t="str">
        <x:v>Current|Non Current</x:v>
      </x:c>
      <x:c r="R11" s="19" t="str">
        <x:v>Physical DB column is subsection.</x:v>
      </x:c>
      <x:c r="S11" s="19" t="str">
        <x:v>Physical DB column is subsection.</x:v>
      </x:c>
    </x:row>
    <x:row r="12">
      <x:c r="A12" s="19" t="str">
        <x:v>DATA TYPE</x:v>
      </x:c>
      <x:c r="B12" s="19" t="str">
        <x:v>DATA TYPE</x:v>
      </x:c>
      <x:c r="C12" s="19" t="str">
        <x:v>Create/Edit UI + Excel</x:v>
      </x:c>
      <x:c r="D12" s="19" t="str">
        <x:v>Input</x:v>
      </x:c>
      <x:c r="E12" s="19" t="str">
        <x:v>data_type / symbol</x:v>
      </x:c>
      <x:c r="F12" s="19" t="str">
        <x:v>data_type</x:v>
      </x:c>
      <x:c r="G12" s="19" t="str">
        <x:v>—</x:v>
      </x:c>
      <x:c r="H12" s="19" t="str">
        <x:v>data_type</x:v>
      </x:c>
      <x:c r="I12" s="19" t="str">
        <x:v>—</x:v>
      </x:c>
      <x:c r="J12" s="19" t="str">
        <x:v>—</x:v>
      </x:c>
      <x:c r="K12" s="19" t="str">
        <x:v>data_type</x:v>
      </x:c>
      <x:c r="L12" s="19" t="str">
        <x:v>—</x:v>
      </x:c>
      <x:c r="M12" s="19" t="str">
        <x:v>—</x:v>
      </x:c>
      <x:c r="N12" s="19" t="str">
        <x:v>No</x:v>
      </x:c>
      <x:c r="O12" s="19" t="str">
        <x:v>NULL</x:v>
      </x:c>
      <x:c r="P12" s="19" t="str">
        <x:v>Stored in Business Rules. API alias symbol maps to physical data_type.</x:v>
      </x:c>
      <x:c r="Q12" s="19" t="str">
        <x:v>Amount / % / Ratio / Actual</x:v>
      </x:c>
      <x:c r="R12" s="19" t="str">
        <x:v>Same logical mapping.</x:v>
      </x:c>
      <x:c r="S12" s="19" t="str">
        <x:v>Same logical mapping.</x:v>
      </x:c>
    </x:row>
    <x:row r="13">
      <x:c r="A13" s="19" t="str">
        <x:v>Calculated or Reported</x:v>
      </x:c>
      <x:c r="B13" s="19" t="str">
        <x:v>Calculated or Reported</x:v>
      </x:c>
      <x:c r="C13" s="19" t="str">
        <x:v>Create/Edit UI + Excel</x:v>
      </x:c>
      <x:c r="D13" s="19" t="str">
        <x:v>Input / Derived</x:v>
      </x:c>
      <x:c r="E13" s="19" t="str">
        <x:v>calculated_or_reported → mapping_type</x:v>
      </x:c>
      <x:c r="F13" s="19" t="str">
        <x:v>calculated_or_reported</x:v>
      </x:c>
      <x:c r="G13" s="19" t="str">
        <x:v>—</x:v>
      </x:c>
      <x:c r="H13" s="19" t="str">
        <x:v>attribute_type</x:v>
      </x:c>
      <x:c r="I13" s="19" t="str">
        <x:v>—</x:v>
      </x:c>
      <x:c r="J13" s="19" t="str">
        <x:v>—</x:v>
      </x:c>
      <x:c r="K13" s="19" t="str">
        <x:v>attribute_type</x:v>
      </x:c>
      <x:c r="L13" s="19" t="str">
        <x:v>—</x:v>
      </x:c>
      <x:c r="M13" s="19" t="str">
        <x:v>—</x:v>
      </x:c>
      <x:c r="N13" s="19" t="str">
        <x:v>Yes</x:v>
      </x:c>
      <x:c r="O13" s="19" t="str">
        <x:v>Reported fallback for unknown values</x:v>
      </x:c>
      <x:c r="P13" s="19" t="str">
        <x:v>Calculated → Calculated; Reported → Reported; Repeated retains original Calculated/Reported type where available.</x:v>
      </x:c>
      <x:c r="Q13" s="19" t="str">
        <x:v>Calculated</x:v>
      </x:c>
      <x:c r="R13" s="19" t="str">
        <x:v>Stored as attribute_type.</x:v>
      </x:c>
      <x:c r="S13" s="19" t="str">
        <x:v>Stored as attribute_type.</x:v>
      </x:c>
    </x:row>
    <x:row r="14">
      <x:c r="A14" s="19" t="str">
        <x:v>Editable</x:v>
      </x:c>
      <x:c r="B14" s="19" t="str">
        <x:v>—</x:v>
      </x:c>
      <x:c r="C14" s="19" t="str">
        <x:v>Derived by application</x:v>
      </x:c>
      <x:c r="D14" s="19" t="str">
        <x:v>Derived</x:v>
      </x:c>
      <x:c r="E14" s="19" t="str">
        <x:v>editable</x:v>
      </x:c>
      <x:c r="F14" s="19" t="str">
        <x:v>—</x:v>
      </x:c>
      <x:c r="G14" s="19" t="str">
        <x:v>—</x:v>
      </x:c>
      <x:c r="H14" s="19" t="str">
        <x:v>editable</x:v>
      </x:c>
      <x:c r="I14" s="19" t="str">
        <x:v>—</x:v>
      </x:c>
      <x:c r="J14" s="19" t="str">
        <x:v>—</x:v>
      </x:c>
      <x:c r="K14" s="19" t="str">
        <x:v>editable</x:v>
      </x:c>
      <x:c r="L14" s="19" t="str">
        <x:v>—</x:v>
      </x:c>
      <x:c r="M14" s="19" t="str">
        <x:v>—</x:v>
      </x:c>
      <x:c r="N14" s="19" t="str">
        <x:v>Derived</x:v>
      </x:c>
      <x:c r="O14" s="19" t="str">
        <x:v>Y unless Calculated</x:v>
      </x:c>
      <x:c r="P14" s="19" t="str">
        <x:v>Calculated → N. Reported/Repeated → Y. Not independently supplied in the standard Master Dictionary Excel template.</x:v>
      </x:c>
      <x:c r="Q14" s="19" t="str">
        <x:v>Calculated → N</x:v>
      </x:c>
      <x:c r="R14" s="19" t="str">
        <x:v>Same logic.</x:v>
      </x:c>
      <x:c r="S14" s="19" t="str">
        <x:v>Same logic.</x:v>
      </x:c>
    </x:row>
    <x:row r="15">
      <x:c r="A15" s="19" t="str">
        <x:v>Calculation Logic</x:v>
      </x:c>
      <x:c r="B15" s="19" t="str">
        <x:v>Calculation Logic</x:v>
      </x:c>
      <x:c r="C15" s="19" t="str">
        <x:v>Create/Edit UI + Excel</x:v>
      </x:c>
      <x:c r="D15" s="19" t="str">
        <x:v>Input / Scope</x:v>
      </x:c>
      <x:c r="E15" s="19" t="str">
        <x:v>calculation_logic</x:v>
      </x:c>
      <x:c r="F15" s="19" t="str">
        <x:v>calculation_logic</x:v>
      </x:c>
      <x:c r="G15" s="19" t="str">
        <x:v>—</x:v>
      </x:c>
      <x:c r="H15" s="19" t="str">
        <x:v>calculation_logic</x:v>
      </x:c>
      <x:c r="I15" s="19" t="str">
        <x:v>—</x:v>
      </x:c>
      <x:c r="J15" s="19" t="str">
        <x:v>—</x:v>
      </x:c>
      <x:c r="K15" s="19" t="str">
        <x:v>calculation_logic</x:v>
      </x:c>
      <x:c r="L15" s="19" t="str">
        <x:v>—</x:v>
      </x:c>
      <x:c r="M15" s="19" t="str">
        <x:v>—</x:v>
      </x:c>
      <x:c r="N15" s="19" t="str">
        <x:v>No</x:v>
      </x:c>
      <x:c r="O15" s="19" t="str">
        <x:v>NA</x:v>
      </x:c>
      <x:c r="P15" s="19" t="str">
        <x:v>Can be pipe-aligned to Section/Sub-Section scope count. A single value broadcasts to all scope pairs.</x:v>
      </x:c>
      <x:c r="Q15" s="19" t="str">
        <x:v>Total(PRJ1)=EBITDA(PRJ2)+Debt(PRJ3)</x:v>
      </x:c>
      <x:c r="R15" s="19" t="str">
        <x:v>Stored in Business Rules.</x:v>
      </x:c>
      <x:c r="S15" s="19" t="str">
        <x:v>Stored in Business Rules.</x:v>
      </x:c>
    </x:row>
    <x:row r="16">
      <x:c r="A16" s="19" t="str">
        <x:v>Segment</x:v>
      </x:c>
      <x:c r="B16" s="19" t="str">
        <x:v>Segment</x:v>
      </x:c>
      <x:c r="C16" s="19" t="str">
        <x:v>Create/Edit UI + Excel</x:v>
      </x:c>
      <x:c r="D16" s="19" t="str">
        <x:v>Input / Scope</x:v>
      </x:c>
      <x:c r="E16" s="19" t="str">
        <x:v>segment</x:v>
      </x:c>
      <x:c r="F16" s="19" t="str">
        <x:v>segment</x:v>
      </x:c>
      <x:c r="G16" s="19" t="str">
        <x:v>segment</x:v>
      </x:c>
      <x:c r="H16" s="19" t="str">
        <x:v>—</x:v>
      </x:c>
      <x:c r="I16" s="19" t="str">
        <x:v>segment</x:v>
      </x:c>
      <x:c r="J16" s="19" t="str">
        <x:v>segment</x:v>
      </x:c>
      <x:c r="K16" s="19" t="str">
        <x:v>—</x:v>
      </x:c>
      <x:c r="L16" s="19" t="str">
        <x:v>segment</x:v>
      </x:c>
      <x:c r="M16" s="19" t="str">
        <x:v>—</x:v>
      </x:c>
      <x:c r="N16" s="19" t="str">
        <x:v>No</x:v>
      </x:c>
      <x:c r="O16" s="19" t="str">
        <x:v>NA</x:v>
      </x:c>
      <x:c r="P16" s="19" t="str">
        <x:v>Scope-specific Segment is stored in Display. A master-level copy is retained for compatibility/search. PostgreSQL physical master column is segment.</x:v>
      </x:c>
      <x:c r="Q16" s="19" t="str">
        <x:v>Balance Sheet</x:v>
      </x:c>
      <x:c r="R16" s="19" t="str">
        <x:v>Master physical column = segment.</x:v>
      </x:c>
      <x:c r="S16" s="19" t="str">
        <x:v>Master physical column = where_in_financial_statement.</x:v>
      </x:c>
    </x:row>
    <x:row r="17">
      <x:c r="A17" s="19" t="str">
        <x:v>Report Type</x:v>
      </x:c>
      <x:c r="B17" s="19" t="str">
        <x:v>Report Type</x:v>
      </x:c>
      <x:c r="C17" s="19" t="str">
        <x:v>Create/Edit UI + Excel</x:v>
      </x:c>
      <x:c r="D17" s="19" t="str">
        <x:v>Input / Scope</x:v>
      </x:c>
      <x:c r="E17" s="19" t="str">
        <x:v>report_type</x:v>
      </x:c>
      <x:c r="F17" s="19" t="str">
        <x:v>report_type</x:v>
      </x:c>
      <x:c r="G17" s="19" t="str">
        <x:v>—</x:v>
      </x:c>
      <x:c r="H17" s="19" t="str">
        <x:v>—</x:v>
      </x:c>
      <x:c r="I17" s="19" t="str">
        <x:v>report_type</x:v>
      </x:c>
      <x:c r="J17" s="19" t="str">
        <x:v>—</x:v>
      </x:c>
      <x:c r="K17" s="19" t="str">
        <x:v>—</x:v>
      </x:c>
      <x:c r="L17" s="19" t="str">
        <x:v>report_type</x:v>
      </x:c>
      <x:c r="M17" s="19" t="str">
        <x:v>—</x:v>
      </x:c>
      <x:c r="N17" s="19" t="str">
        <x:v>No</x:v>
      </x:c>
      <x:c r="O17" s="19" t="str">
        <x:v>NA</x:v>
      </x:c>
      <x:c r="P17" s="19" t="str">
        <x:v>Scope-specific. Pipe values align with Section/Sub-Section pairs. Single value broadcasts to all pairs.</x:v>
      </x:c>
      <x:c r="Q17" s="19" t="str">
        <x:v>Annual</x:v>
      </x:c>
      <x:c r="R17" s="19" t="str">
        <x:v>Stored in Attribute Display.</x:v>
      </x:c>
      <x:c r="S17" s="19" t="str">
        <x:v>Stored in Attribute Display.</x:v>
      </x:c>
    </x:row>
    <x:row r="18">
      <x:c r="A18" s="19" t="str">
        <x:v>Attribute Definition</x:v>
      </x:c>
      <x:c r="B18" s="19" t="str">
        <x:v>Attribute Definition</x:v>
      </x:c>
      <x:c r="C18" s="19" t="str">
        <x:v>Create/Edit UI + Excel</x:v>
      </x:c>
      <x:c r="D18" s="19" t="str">
        <x:v>Input / Scope</x:v>
      </x:c>
      <x:c r="E18" s="19" t="str">
        <x:v>attribute_definition / prj_attribute_definition</x:v>
      </x:c>
      <x:c r="F18" s="19" t="str">
        <x:v>attribute_definition</x:v>
      </x:c>
      <x:c r="G18" s="19" t="str">
        <x:v>prj_attribute_definition</x:v>
      </x:c>
      <x:c r="H18" s="19" t="str">
        <x:v>—</x:v>
      </x:c>
      <x:c r="I18" s="19" t="str">
        <x:v>prj_attribute_definition</x:v>
      </x:c>
      <x:c r="J18" s="19" t="str">
        <x:v>prj_attribute_definition</x:v>
      </x:c>
      <x:c r="K18" s="19" t="str">
        <x:v>—</x:v>
      </x:c>
      <x:c r="L18" s="19" t="str">
        <x:v>prj_attribute_definition</x:v>
      </x:c>
      <x:c r="M18" s="19" t="str">
        <x:v>—</x:v>
      </x:c>
      <x:c r="N18" s="19" t="str">
        <x:v>No</x:v>
      </x:c>
      <x:c r="O18" s="19" t="str">
        <x:v>NULL</x:v>
      </x:c>
      <x:c r="P18" s="19" t="str">
        <x:v>Master-level definition retained for compatibility/search; scope-specific definition is stored in Attribute Display and may vary per Section/Sub-Section pair.</x:v>
      </x:c>
      <x:c r="Q18" s="19" t="str">
        <x:v>Total value of assets reported by the entity.</x:v>
      </x:c>
      <x:c r="R18" s="19" t="str">
        <x:v>Same logical mapping.</x:v>
      </x:c>
      <x:c r="S18" s="19" t="str">
        <x:v>Same logical mapping.</x:v>
      </x:c>
    </x:row>
    <x:row r="19">
      <x:c r="A19" s="19" t="str">
        <x:v>Attribute Description</x:v>
      </x:c>
      <x:c r="B19" s="19" t="str">
        <x:v>Attribute Description</x:v>
      </x:c>
      <x:c r="C19" s="19" t="str">
        <x:v>Create/Edit UI + Excel</x:v>
      </x:c>
      <x:c r="D19" s="19" t="str">
        <x:v>Input / Scope</x:v>
      </x:c>
      <x:c r="E19" s="19" t="str">
        <x:v>attribute_description / prj_attribute_description</x:v>
      </x:c>
      <x:c r="F19" s="19" t="str">
        <x:v>attribute_description</x:v>
      </x:c>
      <x:c r="G19" s="19" t="str">
        <x:v>—</x:v>
      </x:c>
      <x:c r="H19" s="19" t="str">
        <x:v>—</x:v>
      </x:c>
      <x:c r="I19" s="19" t="str">
        <x:v>prj_attribute_description</x:v>
      </x:c>
      <x:c r="J19" s="19" t="str">
        <x:v>—</x:v>
      </x:c>
      <x:c r="K19" s="19" t="str">
        <x:v>—</x:v>
      </x:c>
      <x:c r="L19" s="19" t="str">
        <x:v>prj_attribute_description</x:v>
      </x:c>
      <x:c r="M19" s="19" t="str">
        <x:v>—</x:v>
      </x:c>
      <x:c r="N19" s="19" t="str">
        <x:v>No</x:v>
      </x:c>
      <x:c r="O19" s="19" t="str">
        <x:v>NULL</x:v>
      </x:c>
      <x:c r="P19" s="19" t="str">
        <x:v>Scope-specific description stored in Attribute Display. Also acts as fallback source for Prompt Description when no explicit prompt is supplied.</x:v>
      </x:c>
      <x:c r="Q19" s="19" t="str">
        <x:v>Includes current and non-current assets.</x:v>
      </x:c>
      <x:c r="R19" s="19" t="str">
        <x:v>Same logical mapping.</x:v>
      </x:c>
      <x:c r="S19" s="19" t="str">
        <x:v>Same logical mapping.</x:v>
      </x:c>
    </x:row>
    <x:row r="20">
      <x:c r="A20" s="19" t="str">
        <x:v>Display Order</x:v>
      </x:c>
      <x:c r="B20" s="19" t="str">
        <x:v>Display Order</x:v>
      </x:c>
      <x:c r="C20" s="19" t="str">
        <x:v>Create/Edit UI + Excel</x:v>
      </x:c>
      <x:c r="D20" s="19" t="str">
        <x:v>Input / Scope</x:v>
      </x:c>
      <x:c r="E20" s="19" t="str">
        <x:v>display_order</x:v>
      </x:c>
      <x:c r="F20" s="19" t="str">
        <x:v>display_order</x:v>
      </x:c>
      <x:c r="G20" s="19" t="str">
        <x:v>—</x:v>
      </x:c>
      <x:c r="H20" s="19" t="str">
        <x:v>—</x:v>
      </x:c>
      <x:c r="I20" s="19" t="str">
        <x:v>display_order</x:v>
      </x:c>
      <x:c r="J20" s="19" t="str">
        <x:v>—</x:v>
      </x:c>
      <x:c r="K20" s="19" t="str">
        <x:v>—</x:v>
      </x:c>
      <x:c r="L20" s="19" t="str">
        <x:v>display_order</x:v>
      </x:c>
      <x:c r="M20" s="19" t="str">
        <x:v>—</x:v>
      </x:c>
      <x:c r="N20" s="19" t="str">
        <x:v>Yes</x:v>
      </x:c>
      <x:c r="O20" s="19" t="str">
        <x:v>None</x:v>
      </x:c>
      <x:c r="P20" s="19" t="str">
        <x:v>Numeric and mandatory. Supports one/broadcast or positionally aligned pipe values matching the Section/Sub-Section pair count.</x:v>
      </x:c>
      <x:c r="Q20" s="19" t="str">
        <x:v>10|20</x:v>
      </x:c>
      <x:c r="R20" s="19" t="str">
        <x:v>Stored in Attribute Display.</x:v>
      </x:c>
      <x:c r="S20" s="19" t="str">
        <x:v>Stored in Attribute Display.</x:v>
      </x:c>
    </x:row>
    <x:row r="21">
      <x:c r="A21" s="19" t="str">
        <x:v>Tech Logic</x:v>
      </x:c>
      <x:c r="B21" s="19" t="str">
        <x:v>Tech Logic</x:v>
      </x:c>
      <x:c r="C21" s="19" t="str">
        <x:v>Create/Edit UI + Excel</x:v>
      </x:c>
      <x:c r="D21" s="19" t="str">
        <x:v>Input / Generated</x:v>
      </x:c>
      <x:c r="E21" s="19" t="str">
        <x:v>tech_logic / business_logic</x:v>
      </x:c>
      <x:c r="F21" s="19" t="str">
        <x:v>tech_logic</x:v>
      </x:c>
      <x:c r="G21" s="19" t="str">
        <x:v>—</x:v>
      </x:c>
      <x:c r="H21" s="19" t="str">
        <x:v>business_logic</x:v>
      </x:c>
      <x:c r="I21" s="19" t="str">
        <x:v>—</x:v>
      </x:c>
      <x:c r="J21" s="19" t="str">
        <x:v>—</x:v>
      </x:c>
      <x:c r="K21" s="19" t="str">
        <x:v>business_logic</x:v>
      </x:c>
      <x:c r="L21" s="19" t="str">
        <x:v>—</x:v>
      </x:c>
      <x:c r="M21" s="19" t="str">
        <x:v>—</x:v>
      </x:c>
      <x:c r="N21" s="19" t="str">
        <x:v>No</x:v>
      </x:c>
      <x:c r="O21" s="19" t="str">
        <x:v>Auto-generated from Calculation Logic; NA if no logic</x:v>
      </x:c>
      <x:c r="P21" s="19" t="str">
        <x:v>If blank, generated by stripping descriptive labels while preserving PRJ references, arithmetic operators, functions such as NVL/COALESCE, and grouping. API alias tech_logic maps to physical business_logic.</x:v>
      </x:c>
      <x:c r="Q21" s="19" t="str">
        <x:v>PRJ362 = PRJ43843/PRJ4343</x:v>
      </x:c>
      <x:c r="R21" s="19" t="str">
        <x:v>Stored in Business Rules as business_logic.</x:v>
      </x:c>
      <x:c r="S21" s="19" t="str">
        <x:v>Stored in Business Rules as business_logic.</x:v>
      </x:c>
    </x:row>
    <x:row r="22">
      <x:c r="A22" s="19" t="str">
        <x:v>Display Name</x:v>
      </x:c>
      <x:c r="B22" s="19" t="str">
        <x:v>Display Name</x:v>
      </x:c>
      <x:c r="C22" s="19" t="str">
        <x:v>Create/Edit UI + Excel</x:v>
      </x:c>
      <x:c r="D22" s="19" t="str">
        <x:v>Input / Scope</x:v>
      </x:c>
      <x:c r="E22" s="19" t="str">
        <x:v>display_name</x:v>
      </x:c>
      <x:c r="F22" s="19" t="str">
        <x:v>display_name</x:v>
      </x:c>
      <x:c r="G22" s="19" t="str">
        <x:v>—</x:v>
      </x:c>
      <x:c r="H22" s="19" t="str">
        <x:v>—</x:v>
      </x:c>
      <x:c r="I22" s="19" t="str">
        <x:v>display_name</x:v>
      </x:c>
      <x:c r="J22" s="19" t="str">
        <x:v>—</x:v>
      </x:c>
      <x:c r="K22" s="19" t="str">
        <x:v>—</x:v>
      </x:c>
      <x:c r="L22" s="19" t="str">
        <x:v>display_name</x:v>
      </x:c>
      <x:c r="M22" s="19" t="str">
        <x:v>—</x:v>
      </x:c>
      <x:c r="N22" s="19" t="str">
        <x:v>No</x:v>
      </x:c>
      <x:c r="O22" s="19" t="str">
        <x:v>PRJ Attribute Name</x:v>
      </x:c>
      <x:c r="P22" s="19" t="str">
        <x:v>If blank, defaults to prj_attribute_name. Scope-specific and pipe-alignable.</x:v>
      </x:c>
      <x:c r="Q22" s="19" t="str">
        <x:v>Total Assets</x:v>
      </x:c>
      <x:c r="R22" s="19" t="str">
        <x:v>Stored in Attribute Display.</x:v>
      </x:c>
      <x:c r="S22" s="19" t="str">
        <x:v>Stored in Attribute Display.</x:v>
      </x:c>
    </x:row>
    <x:row r="23">
      <x:c r="A23" s="19" t="str">
        <x:v>Examples</x:v>
      </x:c>
      <x:c r="B23" s="19" t="str">
        <x:v>Examples</x:v>
      </x:c>
      <x:c r="C23" s="19" t="str">
        <x:v>Create/Edit UI + Excel</x:v>
      </x:c>
      <x:c r="D23" s="19" t="str">
        <x:v>Input / Scope</x:v>
      </x:c>
      <x:c r="E23" s="19" t="str">
        <x:v>examples / examples_for_llm</x:v>
      </x:c>
      <x:c r="F23" s="19" t="str">
        <x:v>—</x:v>
      </x:c>
      <x:c r="G23" s="19" t="str">
        <x:v>—</x:v>
      </x:c>
      <x:c r="H23" s="19" t="str">
        <x:v>examples_for_llm</x:v>
      </x:c>
      <x:c r="I23" s="19" t="str">
        <x:v>—</x:v>
      </x:c>
      <x:c r="J23" s="19" t="str">
        <x:v>—</x:v>
      </x:c>
      <x:c r="K23" s="19" t="str">
        <x:v>examples_for_llm</x:v>
      </x:c>
      <x:c r="L23" s="19" t="str">
        <x:v>—</x:v>
      </x:c>
      <x:c r="M23" s="19" t="str">
        <x:v>—</x:v>
      </x:c>
      <x:c r="N23" s="19" t="str">
        <x:v>No</x:v>
      </x:c>
      <x:c r="O23" s="19" t="str">
        <x:v>NULL</x:v>
      </x:c>
      <x:c r="P23" s="19" t="str">
        <x:v>Scope-specific LLM examples. API alias examples maps to physical examples_for_llm in Business Rules.</x:v>
      </x:c>
      <x:c r="Q23" s="19" t="str">
        <x:v>Cash + Inventory + Receivables</x:v>
      </x:c>
      <x:c r="R23" s="19" t="str">
        <x:v>Stored in Business Rules.</x:v>
      </x:c>
      <x:c r="S23" s="19" t="str">
        <x:v>Stored in Business Rules.</x:v>
      </x:c>
    </x:row>
    <x:row r="24">
      <x:c r="A24" s="19" t="str">
        <x:v>Prompt Description</x:v>
      </x:c>
      <x:c r="B24" s="19" t="str">
        <x:v>—</x:v>
      </x:c>
      <x:c r="C24" s="19" t="str">
        <x:v>Prompt Management / API; fallback from Attribute Description</x:v>
      </x:c>
      <x:c r="D24" s="19" t="str">
        <x:v>Input / Derived</x:v>
      </x:c>
      <x:c r="E24" s="19" t="str">
        <x:v>prompt_description</x:v>
      </x:c>
      <x:c r="F24" s="19" t="str">
        <x:v>—</x:v>
      </x:c>
      <x:c r="G24" s="19" t="str">
        <x:v>—</x:v>
      </x:c>
      <x:c r="H24" s="19" t="str">
        <x:v>prompt_description</x:v>
      </x:c>
      <x:c r="I24" s="19" t="str">
        <x:v>—</x:v>
      </x:c>
      <x:c r="J24" s="19" t="str">
        <x:v>—</x:v>
      </x:c>
      <x:c r="K24" s="19" t="str">
        <x:v>prompt_description</x:v>
      </x:c>
      <x:c r="L24" s="19" t="str">
        <x:v>—</x:v>
      </x:c>
      <x:c r="M24" s="19" t="str">
        <x:v>—</x:v>
      </x:c>
      <x:c r="N24" s="19" t="str">
        <x:v>No</x:v>
      </x:c>
      <x:c r="O24" s="19" t="str">
        <x:v>Attribute Description if not supplied</x:v>
      </x:c>
      <x:c r="P24" s="19" t="str">
        <x:v>If prompt_description is absent, the service uses Attribute Description as the prompt source. Can be scope-aligned.</x:v>
      </x:c>
      <x:c r="Q24" s="19" t="str">
        <x:v>Extract Total Assets from the financial statement.</x:v>
      </x:c>
      <x:c r="R24" s="19" t="str">
        <x:v>Stored in Business Rules.</x:v>
      </x:c>
      <x:c r="S24" s="19" t="str">
        <x:v>Stored in Business Rules.</x:v>
      </x:c>
    </x:row>
    <x:row r="25">
      <x:c r="A25" s="19" t="str">
        <x:v>Scope ID</x:v>
      </x:c>
      <x:c r="B25" s="19" t="str">
        <x:v>—</x:v>
      </x:c>
      <x:c r="C25" s="19" t="str">
        <x:v>System generated</x:v>
      </x:c>
      <x:c r="D25" s="19" t="str">
        <x:v>System / Key</x:v>
      </x:c>
      <x:c r="E25" s="19" t="str">
        <x:v>scope_id</x:v>
      </x:c>
      <x:c r="F25" s="19" t="str">
        <x:v>—</x:v>
      </x:c>
      <x:c r="G25" s="19" t="str">
        <x:v>—</x:v>
      </x:c>
      <x:c r="H25" s="19" t="str">
        <x:v>scope_id</x:v>
      </x:c>
      <x:c r="I25" s="19" t="str">
        <x:v>scope_id</x:v>
      </x:c>
      <x:c r="J25" s="19" t="str">
        <x:v>—</x:v>
      </x:c>
      <x:c r="K25" s="19" t="str">
        <x:v>scope_id</x:v>
      </x:c>
      <x:c r="L25" s="19" t="str">
        <x:v>scope_id</x:v>
      </x:c>
      <x:c r="M25" s="19" t="str">
        <x:v>—</x:v>
      </x:c>
      <x:c r="N25" s="19" t="str">
        <x:v>System</x:v>
      </x:c>
      <x:c r="O25" s="19" t="str">
        <x:v>Auto-generated</x:v>
      </x:c>
      <x:c r="P25" s="19" t="str">
        <x:v>Primary key of Business Rules. Attribute Display references the same scope_id; one Display row is enforced per scope.</x:v>
      </x:c>
      <x:c r="Q25" s="19" t="str">
        <x:v>100245</x:v>
      </x:c>
      <x:c r="R25" s="19" t="str">
        <x:v>Database-generated.</x:v>
      </x:c>
      <x:c r="S25" s="19" t="str">
        <x:v>Database-generated.</x:v>
      </x:c>
    </x:row>
    <x:row r="26">
      <x:c r="A26" s="19" t="str">
        <x:v>Display ID</x:v>
      </x:c>
      <x:c r="B26" s="19" t="str">
        <x:v>—</x:v>
      </x:c>
      <x:c r="C26" s="19" t="str">
        <x:v>System generated</x:v>
      </x:c>
      <x:c r="D26" s="19" t="str">
        <x:v>System / Key</x:v>
      </x:c>
      <x:c r="E26" s="19" t="str">
        <x:v>display_id</x:v>
      </x:c>
      <x:c r="F26" s="19" t="str">
        <x:v>—</x:v>
      </x:c>
      <x:c r="G26" s="19" t="str">
        <x:v>—</x:v>
      </x:c>
      <x:c r="H26" s="19" t="str">
        <x:v>—</x:v>
      </x:c>
      <x:c r="I26" s="19" t="str">
        <x:v>display_id</x:v>
      </x:c>
      <x:c r="J26" s="19" t="str">
        <x:v>—</x:v>
      </x:c>
      <x:c r="K26" s="19" t="str">
        <x:v>—</x:v>
      </x:c>
      <x:c r="L26" s="19" t="str">
        <x:v>display_id</x:v>
      </x:c>
      <x:c r="M26" s="19" t="str">
        <x:v>—</x:v>
      </x:c>
      <x:c r="N26" s="19" t="str">
        <x:v>System</x:v>
      </x:c>
      <x:c r="O26" s="19" t="str">
        <x:v>Auto-generated</x:v>
      </x:c>
      <x:c r="P26" s="19" t="str">
        <x:v>Primary key of Attribute Display. scope_id is unique in Display, giving one display record per business-rule scope.</x:v>
      </x:c>
      <x:c r="Q26" s="19" t="str">
        <x:v>205011</x:v>
      </x:c>
      <x:c r="R26" s="19" t="str">
        <x:v>Database-generated.</x:v>
      </x:c>
      <x:c r="S26" s="19" t="str">
        <x:v>Database-generated.</x:v>
      </x:c>
    </x:row>
    <x:row r="27">
      <x:c r="A27" s="19" t="str">
        <x:v>Active Status</x:v>
      </x:c>
      <x:c r="B27" s="19" t="str">
        <x:v>—</x:v>
      </x:c>
      <x:c r="C27" s="19" t="str">
        <x:v>System / Soft Delete</x:v>
      </x:c>
      <x:c r="D27" s="19" t="str">
        <x:v>System</x:v>
      </x:c>
      <x:c r="E27" s="19" t="str">
        <x:v>is_active</x:v>
      </x:c>
      <x:c r="F27" s="19" t="str">
        <x:v>is_active</x:v>
      </x:c>
      <x:c r="G27" s="19" t="str">
        <x:v>is_active</x:v>
      </x:c>
      <x:c r="H27" s="19" t="str">
        <x:v>—</x:v>
      </x:c>
      <x:c r="I27" s="19" t="str">
        <x:v>—</x:v>
      </x:c>
      <x:c r="J27" s="19" t="str">
        <x:v>is_active</x:v>
      </x:c>
      <x:c r="K27" s="19" t="str">
        <x:v>—</x:v>
      </x:c>
      <x:c r="L27" s="19" t="str">
        <x:v>—</x:v>
      </x:c>
      <x:c r="M27" s="19" t="str">
        <x:v>—</x:v>
      </x:c>
      <x:c r="N27" s="19" t="str">
        <x:v>System</x:v>
      </x:c>
      <x:c r="O27" s="19" t="str">
        <x:v>TRUE</x:v>
      </x:c>
      <x:c r="P27" s="19" t="str">
        <x:v>Used for active/inactive lifecycle and soft delete/reactivate on Raw/Master entities.</x:v>
      </x:c>
      <x:c r="Q27" s="19" t="str">
        <x:v>TRUE</x:v>
      </x:c>
      <x:c r="R27" s="19" t="str">
        <x:v>Boolean.</x:v>
      </x:c>
      <x:c r="S27" s="19" t="str">
        <x:v>BIT/Boolean abstraction.</x:v>
      </x:c>
    </x:row>
    <x:row r="28">
      <x:c r="A28" s="19" t="str">
        <x:v>Created At / Updated At</x:v>
      </x:c>
      <x:c r="B28" s="19" t="str">
        <x:v>—</x:v>
      </x:c>
      <x:c r="C28" s="19" t="str">
        <x:v>System</x:v>
      </x:c>
      <x:c r="D28" s="19" t="str">
        <x:v>System Audit</x:v>
      </x:c>
      <x:c r="E28" s="19" t="str">
        <x:v>created_at / updated_at</x:v>
      </x:c>
      <x:c r="F28" s="19" t="str">
        <x:v>created_at / updated_at</x:v>
      </x:c>
      <x:c r="G28" s="19" t="str">
        <x:v>created_at / updated_at</x:v>
      </x:c>
      <x:c r="H28" s="19" t="str">
        <x:v>created_at / updated_at</x:v>
      </x:c>
      <x:c r="I28" s="19" t="str">
        <x:v>created_at / updated_at</x:v>
      </x:c>
      <x:c r="J28" s="19" t="str">
        <x:v>created_at / updated_at</x:v>
      </x:c>
      <x:c r="K28" s="19" t="str">
        <x:v>created_at / updated_at</x:v>
      </x:c>
      <x:c r="L28" s="19" t="str">
        <x:v>created_at / updated_at</x:v>
      </x:c>
      <x:c r="M28" s="19" t="str">
        <x:v>—</x:v>
      </x:c>
      <x:c r="N28" s="19" t="str">
        <x:v>System</x:v>
      </x:c>
      <x:c r="O28" s="19" t="str">
        <x:v>Current timestamp</x:v>
      </x:c>
      <x:c r="P28" s="19" t="str">
        <x:v>Automatically populated/updated by the application/database model.</x:v>
      </x:c>
      <x:c r="Q28" s="19" t="str">
        <x:v>2026-09-09 11:00:00</x:v>
      </x:c>
      <x:c r="R28" s="19" t="str">
        <x:v>Timestamp.</x:v>
      </x:c>
      <x:c r="S28" s="19" t="str">
        <x:v>Datetime.</x:v>
      </x:c>
    </x:row>
    <x:row r="29">
      <x:c r="A29" s="19" t="str">
        <x:v>Created By / Updated By</x:v>
      </x:c>
      <x:c r="B29" s="19" t="str">
        <x:v>—</x:v>
      </x:c>
      <x:c r="C29" s="19" t="str">
        <x:v>System / User context</x:v>
      </x:c>
      <x:c r="D29" s="19" t="str">
        <x:v>System Audit</x:v>
      </x:c>
      <x:c r="E29" s="19" t="str">
        <x:v>created_by / updated_by</x:v>
      </x:c>
      <x:c r="F29" s="19" t="str">
        <x:v>created_by / updated_by</x:v>
      </x:c>
      <x:c r="G29" s="19" t="str">
        <x:v>created_by / updated_by</x:v>
      </x:c>
      <x:c r="H29" s="19" t="str">
        <x:v>created_by / updated_by</x:v>
      </x:c>
      <x:c r="I29" s="19" t="str">
        <x:v>created_by / updated_by</x:v>
      </x:c>
      <x:c r="J29" s="19" t="str">
        <x:v>created_by / updated_by</x:v>
      </x:c>
      <x:c r="K29" s="19" t="str">
        <x:v>created_by / updated_by</x:v>
      </x:c>
      <x:c r="L29" s="19" t="str">
        <x:v>created_by / updated_by</x:v>
      </x:c>
      <x:c r="M29" s="19" t="str">
        <x:v>—</x:v>
      </x:c>
      <x:c r="N29" s="19" t="str">
        <x:v>System</x:v>
      </x:c>
      <x:c r="O29" s="19" t="str">
        <x:v>sysuser / current user</x:v>
      </x:c>
      <x:c r="P29" s="19" t="str">
        <x:v>Tracks the user/process responsible for creation and latest change.</x:v>
      </x:c>
      <x:c r="Q29" s="19" t="str">
        <x:v>amol.j</x:v>
      </x:c>
      <x:c r="R29" s="19" t="str">
        <x:v>Same logical mapping.</x:v>
      </x:c>
      <x:c r="S29" s="19" t="str">
        <x:v>Same logical mapping.</x:v>
      </x:c>
    </x:row>
  </x:sheetData>
  <x:mergeCells>
    <x:mergeCell ref="A1:S2"/>
    <x:mergeCell ref="A3:S3"/>
  </x:mergeCells>
  <x:conditionalFormatting sqref="N5:N29">
    <x:cfRule type="expression" dxfId="0" priority="1">
      <x:formula>N5="Yes"</x:formula>
    </x:cfRule>
  </x:conditionalFormatting>
  <x:conditionalFormatting sqref="O5:O29">
    <x:cfRule type="expression" dxfId="1" priority="2">
      <x:formula>AND(O5&lt;&gt;"",O5&lt;&gt;"None",O5&lt;&gt;"NULL")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4dc1052b904f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38" hidden="0" customWidth="1"/>
    <x:col min="5" max="5" width="18" hidden="0" customWidth="1"/>
    <x:col min="6" max="6" width="38" hidden="0" customWidth="1"/>
    <x:col min="7" max="7" width="18" hidden="0" customWidth="1"/>
    <x:col min="8" max="8" width="40" hidden="0" customWidth="1"/>
    <x:col min="9" max="9" width="22" hidden="0" customWidth="1"/>
    <x:col min="10" max="10" width="16" hidden="0" customWidth="1"/>
    <x:col min="11" max="11" width="48" hidden="0" customWidth="1"/>
  </x:cols>
  <x:sheetData>
    <x:row r="1">
      <x:c r="A1" s="5" t="str">
        <x:v>Application Table Flow &amp; Physical Database Targets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45" t="str">
        <x:v>Only the six Staging/Final dictionary table basenames are user-configurable. Schemas and Raw/Audit/Reference tables remain governed/fixed.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A4" s="26" t="str">
        <x:v>Layer</x:v>
      </x:c>
      <x:c r="B4" s="26" t="str">
        <x:v>Logical Purpose</x:v>
      </x:c>
      <x:c r="C4" s="26" t="str">
        <x:v>PostgreSQL Schema</x:v>
      </x:c>
      <x:c r="D4" s="26" t="str">
        <x:v>Default Table Name</x:v>
      </x:c>
      <x:c r="E4" s="26" t="str">
        <x:v>SQL Server Schema</x:v>
      </x:c>
      <x:c r="F4" s="26" t="str">
        <x:v>SQL Server Default Table</x:v>
      </x:c>
      <x:c r="G4" s="26" t="str">
        <x:v>Primary Key</x:v>
      </x:c>
      <x:c r="H4" s="26" t="str">
        <x:v>Key Relationships</x:v>
      </x:c>
      <x:c r="I4" s="26" t="str">
        <x:v>Updated When</x:v>
      </x:c>
      <x:c r="J4" s="26" t="str">
        <x:v>UI-Renamable?</x:v>
      </x:c>
      <x:c r="K4" s="26" t="str">
        <x:v>Notes</x:v>
      </x:c>
    </x:row>
    <x:row r="5">
      <x:c r="A5" s="19" t="str">
        <x:v>Reference</x:v>
      </x:c>
      <x:c r="B5" s="19" t="str">
        <x:v>Portfolio / Scope lookup</x:v>
      </x:c>
      <x:c r="C5" s="19" t="str">
        <x:v>prj_dbd</x:v>
      </x:c>
      <x:c r="D5" s="19" t="str">
        <x:v>prj_portfolio_reference</x:v>
      </x:c>
      <x:c r="E5" s="19" t="str">
        <x:v>dbo</x:v>
      </x:c>
      <x:c r="F5" s="19" t="str">
        <x:v>prj_portfolio_reference_new_test</x:v>
      </x:c>
      <x:c r="G5" s="19" t="str">
        <x:v>port_ref_id</x:v>
      </x:c>
      <x:c r="H5" s="19" t="str">
        <x:v>Business Rules.port_ref_id → Portfolio.port_ref_id</x:v>
      </x:c>
      <x:c r="I5" s="19" t="str">
        <x:v>Reference maintenance</x:v>
      </x:c>
      <x:c r="J5" s="19" t="str">
        <x:v>No</x:v>
      </x:c>
      <x:c r="K5" s="19" t="str">
        <x:v>Contains portfolio_name, sector_name, sub_sector, remarks.</x:v>
      </x:c>
    </x:row>
    <x:row r="6">
      <x:c r="A6" s="19" t="str">
        <x:v>Reference</x:v>
      </x:c>
      <x:c r="B6" s="19" t="str">
        <x:v>Source lookup</x:v>
      </x:c>
      <x:c r="C6" s="19" t="str">
        <x:v>prj_dbd</x:v>
      </x:c>
      <x:c r="D6" s="19" t="str">
        <x:v>prj_data_sources</x:v>
      </x:c>
      <x:c r="E6" s="19" t="str">
        <x:v>dbo</x:v>
      </x:c>
      <x:c r="F6" s="19" t="str">
        <x:v>prj_data_sources</x:v>
      </x:c>
      <x:c r="G6" s="19" t="str">
        <x:v>source_code</x:v>
      </x:c>
      <x:c r="H6" s="19" t="str">
        <x:v>Business Rules.source_abbr_name stores source_code</x:v>
      </x:c>
      <x:c r="I6" s="19" t="str">
        <x:v>External/reference data</x:v>
      </x:c>
      <x:c r="J6" s="19" t="str">
        <x:v>No</x:v>
      </x:c>
      <x:c r="K6" s="19" t="str">
        <x:v>Read-only dependency; source_name is display text.</x:v>
      </x:c>
    </x:row>
    <x:row r="7">
      <x:c r="A7" s="19" t="str">
        <x:v>Raw</x:v>
      </x:c>
      <x:c r="B7" s="19" t="str">
        <x:v>Normalized UI / Excel intake</x:v>
      </x:c>
      <x:c r="C7" s="19" t="str">
        <x:v>prj_dbd</x:v>
      </x:c>
      <x:c r="D7" s="19" t="str">
        <x:v>raw_prj_attribute_new_test</x:v>
      </x:c>
      <x:c r="E7" s="19" t="str">
        <x:v>dbo</x:v>
      </x:c>
      <x:c r="F7" s="19" t="str">
        <x:v>raw_prj_attribute_new_test</x:v>
      </x:c>
      <x:c r="G7" s="19" t="str">
        <x:v>raw_row_id</x:v>
      </x:c>
      <x:c r="H7" s="19" t="str">
        <x:v>Carries prj_id and normalized incoming fields</x:v>
      </x:c>
      <x:c r="I7" s="19" t="str">
        <x:v>Create/Edit/Bulk stage</x:v>
      </x:c>
      <x:c r="J7" s="19" t="str">
        <x:v>No</x:v>
      </x:c>
      <x:c r="K7" s="19" t="str">
        <x:v>Fixed application table.</x:v>
      </x:c>
    </x:row>
    <x:row r="8">
      <x:c r="A8" s="19" t="str">
        <x:v>Staging</x:v>
      </x:c>
      <x:c r="B8" s="19" t="str">
        <x:v>Core PRJ master</x:v>
      </x:c>
      <x:c r="C8" s="19" t="str">
        <x:v>prj_stage</x:v>
      </x:c>
      <x:c r="D8" s="19" t="str">
        <x:v>prj_attribute_master_new_test</x:v>
      </x:c>
      <x:c r="E8" s="19" t="str">
        <x:v>stg</x:v>
      </x:c>
      <x:c r="F8" s="19" t="str">
        <x:v>prj_attribute_master_new_test</x:v>
      </x:c>
      <x:c r="G8" s="19" t="str">
        <x:v>prj_id</x:v>
      </x:c>
      <x:c r="H8" s="19" t="str">
        <x:v>Business/Display prj_id → Master.prj_id</x:v>
      </x:c>
      <x:c r="I8" s="19" t="str">
        <x:v>Stage only</x:v>
      </x:c>
      <x:c r="J8" s="19" t="str">
        <x:v>Yes</x:v>
      </x:c>
      <x:c r="K8" s="19" t="str">
        <x:v>Basename can be changed from sidebar.</x:v>
      </x:c>
    </x:row>
    <x:row r="9">
      <x:c r="A9" s="19" t="str">
        <x:v>Staging</x:v>
      </x:c>
      <x:c r="B9" s="19" t="str">
        <x:v>Business / LLM rules</x:v>
      </x:c>
      <x:c r="C9" s="19" t="str">
        <x:v>prj_stage</x:v>
      </x:c>
      <x:c r="D9" s="19" t="str">
        <x:v>prj_attribute_business_rules_new_test</x:v>
      </x:c>
      <x:c r="E9" s="19" t="str">
        <x:v>stg</x:v>
      </x:c>
      <x:c r="F9" s="19" t="str">
        <x:v>prj_attribute_business_rules_new_test</x:v>
      </x:c>
      <x:c r="G9" s="19" t="str">
        <x:v>scope_id</x:v>
      </x:c>
      <x:c r="H9" s="19" t="str">
        <x:v>prj_id → Master; port_ref_id → Portfolio</x:v>
      </x:c>
      <x:c r="I9" s="19" t="str">
        <x:v>Stage only</x:v>
      </x:c>
      <x:c r="J9" s="19" t="str">
        <x:v>Yes</x:v>
      </x:c>
      <x:c r="K9" s="19" t="str">
        <x:v>Source, editable, data_type, attribute_type, business_logic, calculation_logic, prompt, examples.</x:v>
      </x:c>
    </x:row>
    <x:row r="10">
      <x:c r="A10" s="19" t="str">
        <x:v>Staging</x:v>
      </x:c>
      <x:c r="B10" s="19" t="str">
        <x:v>Display / scope metadata</x:v>
      </x:c>
      <x:c r="C10" s="19" t="str">
        <x:v>prj_stage</x:v>
      </x:c>
      <x:c r="D10" s="19" t="str">
        <x:v>prj_attribute_display_test</x:v>
      </x:c>
      <x:c r="E10" s="19" t="str">
        <x:v>stg</x:v>
      </x:c>
      <x:c r="F10" s="19" t="str">
        <x:v>prj_attribute_display_test</x:v>
      </x:c>
      <x:c r="G10" s="19" t="str">
        <x:v>display_id</x:v>
      </x:c>
      <x:c r="H10" s="19" t="str">
        <x:v>scope_id → Business Rules; prj_id → Master</x:v>
      </x:c>
      <x:c r="I10" s="19" t="str">
        <x:v>Stage only</x:v>
      </x:c>
      <x:c r="J10" s="19" t="str">
        <x:v>Yes</x:v>
      </x:c>
      <x:c r="K10" s="19" t="str">
        <x:v>One Display row per scope_id; section/subsection/display metadata and scope fields.</x:v>
      </x:c>
    </x:row>
    <x:row r="11">
      <x:c r="A11" s="19" t="str">
        <x:v>Final</x:v>
      </x:c>
      <x:c r="B11" s="19" t="str">
        <x:v>Published core PRJ master</x:v>
      </x:c>
      <x:c r="C11" s="19" t="str">
        <x:v>prj_dbd / PG_SCHEMA</x:v>
      </x:c>
      <x:c r="D11" s="19" t="str">
        <x:v>prj_attribute_master_new_test</x:v>
      </x:c>
      <x:c r="E11" s="19" t="str">
        <x:v>dbo</x:v>
      </x:c>
      <x:c r="F11" s="19" t="str">
        <x:v>prj_attribute_master_new_test</x:v>
      </x:c>
      <x:c r="G11" s="19" t="str">
        <x:v>prj_id</x:v>
      </x:c>
      <x:c r="H11" s="19" t="str">
        <x:v>Business/Display prj_id → Master.prj_id</x:v>
      </x:c>
      <x:c r="I11" s="19" t="str">
        <x:v>Finalize only</x:v>
      </x:c>
      <x:c r="J11" s="19" t="str">
        <x:v>Yes</x:v>
      </x:c>
      <x:c r="K11" s="19" t="str">
        <x:v>PostgreSQL physical master uses segment; SQL Server uses where_in_financial_statement.</x:v>
      </x:c>
    </x:row>
    <x:row r="12">
      <x:c r="A12" s="19" t="str">
        <x:v>Final</x:v>
      </x:c>
      <x:c r="B12" s="19" t="str">
        <x:v>Published business / LLM rules</x:v>
      </x:c>
      <x:c r="C12" s="19" t="str">
        <x:v>prj_dbd / PG_SCHEMA</x:v>
      </x:c>
      <x:c r="D12" s="19" t="str">
        <x:v>prj_attribute_business_rules_new_test</x:v>
      </x:c>
      <x:c r="E12" s="19" t="str">
        <x:v>dbo</x:v>
      </x:c>
      <x:c r="F12" s="19" t="str">
        <x:v>prj_attribute_business_rules_new_test</x:v>
      </x:c>
      <x:c r="G12" s="19" t="str">
        <x:v>scope_id</x:v>
      </x:c>
      <x:c r="H12" s="19" t="str">
        <x:v>prj_id → Master; port_ref_id → Portfolio</x:v>
      </x:c>
      <x:c r="I12" s="19" t="str">
        <x:v>Finalize only</x:v>
      </x:c>
      <x:c r="J12" s="19" t="str">
        <x:v>Yes</x:v>
      </x:c>
      <x:c r="K12" s="19" t="str">
        <x:v>Publication is transactional.</x:v>
      </x:c>
    </x:row>
    <x:row r="13">
      <x:c r="A13" s="19" t="str">
        <x:v>Final</x:v>
      </x:c>
      <x:c r="B13" s="19" t="str">
        <x:v>Published display / scope metadata</x:v>
      </x:c>
      <x:c r="C13" s="19" t="str">
        <x:v>prj_dbd / PG_SCHEMA</x:v>
      </x:c>
      <x:c r="D13" s="19" t="str">
        <x:v>prj_attribute_display_test</x:v>
      </x:c>
      <x:c r="E13" s="19" t="str">
        <x:v>dbo</x:v>
      </x:c>
      <x:c r="F13" s="19" t="str">
        <x:v>prj_attribute_display_test</x:v>
      </x:c>
      <x:c r="G13" s="19" t="str">
        <x:v>display_id</x:v>
      </x:c>
      <x:c r="H13" s="19" t="str">
        <x:v>scope_id → Business Rules; prj_id → Master</x:v>
      </x:c>
      <x:c r="I13" s="19" t="str">
        <x:v>Finalize only</x:v>
      </x:c>
      <x:c r="J13" s="19" t="str">
        <x:v>Yes</x:v>
      </x:c>
      <x:c r="K13" s="19" t="str">
        <x:v>Renamed Final tables are used by Delta/Finalize.</x:v>
      </x:c>
    </x:row>
    <x:row r="14">
      <x:c r="A14" s="19" t="str">
        <x:v>Audit</x:v>
      </x:c>
      <x:c r="B14" s="19" t="str">
        <x:v>Before / after audit history</x:v>
      </x:c>
      <x:c r="C14" s="19" t="str">
        <x:v>prj_dbd / PG_SCHEMA</x:v>
      </x:c>
      <x:c r="D14" s="19" t="str">
        <x:v>audit_table_new_test</x:v>
      </x:c>
      <x:c r="E14" s="19" t="str">
        <x:v>dbo</x:v>
      </x:c>
      <x:c r="F14" s="19" t="str">
        <x:v>audit_table_new_test</x:v>
      </x:c>
      <x:c r="G14" s="19" t="str">
        <x:v>audit_id</x:v>
      </x:c>
      <x:c r="H14" s="19" t="str">
        <x:v>record_key identifies changed entity</x:v>
      </x:c>
      <x:c r="I14" s="19" t="str">
        <x:v>Finalize / governed changes</x:v>
      </x:c>
      <x:c r="J14" s="19" t="str">
        <x:v>No</x:v>
      </x:c>
      <x:c r="K14" s="19" t="str">
        <x:v>Stores before/after values and performed-by metadata.</x:v>
      </x:c>
    </x:row>
  </x:sheetData>
  <x:mergeCells>
    <x:mergeCell ref="A1:K2"/>
    <x:mergeCell ref="A3:K3"/>
  </x:mergeCells>
  <x:conditionalFormatting sqref="J5:J14">
    <x:cfRule type="expression" dxfId="2" priority="1">
      <x:formula>J5="Yes"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522699b62145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55" hidden="0" customWidth="1"/>
    <x:col min="5" max="5" width="38" hidden="0" customWidth="1"/>
    <x:col min="6" max="6" width="38" hidden="0" customWidth="1"/>
    <x:col min="7" max="7" width="45" hidden="0" customWidth="1"/>
  </x:cols>
  <x:sheetData>
    <x:row r="1">
      <x:c r="A1" s="5" t="str">
        <x:v>Transformation, Defaulting &amp; Validation Rules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26" t="str">
        <x:v>Rule ID</x:v>
      </x:c>
      <x:c r="B4" s="26" t="str">
        <x:v>Area</x:v>
      </x:c>
      <x:c r="C4" s="26" t="str">
        <x:v>Trigger / Input</x:v>
      </x:c>
      <x:c r="D4" s="26" t="str">
        <x:v>Rule</x:v>
      </x:c>
      <x:c r="E4" s="26" t="str">
        <x:v>Result</x:v>
      </x:c>
      <x:c r="F4" s="26" t="str">
        <x:v>Example</x:v>
      </x:c>
      <x:c r="G4" s="26" t="str">
        <x:v>Failure / Validation Behavior</x:v>
      </x:c>
    </x:row>
    <x:row r="5">
      <x:c r="A5" s="19" t="str">
        <x:v>R01</x:v>
      </x:c>
      <x:c r="B5" s="19" t="str">
        <x:v>PRJ ID</x:v>
      </x:c>
      <x:c r="C5" s="19" t="str">
        <x:v>Create UI</x:v>
      </x:c>
      <x:c r="D5" s="19" t="str">
        <x:v>Generate next PRJ ID by checking Raw + Staging Master + Final Master.</x:v>
      </x:c>
      <x:c r="E5" s="19" t="str">
        <x:v>Unique PRJ ID shown read-only before create.</x:v>
      </x:c>
      <x:c r="F5" s="19" t="str">
        <x:v>Existing max PRJ1023 → PRJ1024</x:v>
      </x:c>
      <x:c r="G5" s="19" t="str">
        <x:v>Bulk upload rejects missing PRJID.</x:v>
      </x:c>
    </x:row>
    <x:row r="6">
      <x:c r="A6" s="19" t="str">
        <x:v>R02</x:v>
      </x:c>
      <x:c r="B6" s="19" t="str">
        <x:v>Physical Name</x:v>
      </x:c>
      <x:c r="C6" s="19" t="str">
        <x:v>Blank Physical Attribute Name</x:v>
      </x:c>
      <x:c r="D6" s="19" t="str">
        <x:v>Generate from Attribute Name using normalization/abbreviations; then check Raw + selected Staging + selected Final + current workbook reservations.</x:v>
      </x:c>
      <x:c r="E6" s="19" t="str">
        <x:v>Unique physical name.</x:v>
      </x:c>
      <x:c r="F6" s="19" t="str">
        <x:v>Total Assets → tot_assets; collision → tot_assets_2</x:v>
      </x:c>
      <x:c r="G6" s="19" t="str">
        <x:v>Explicit supplied duplicate across different PRJ IDs is rejected; auto-generated values are safely suffixed.</x:v>
      </x:c>
    </x:row>
    <x:row r="7">
      <x:c r="A7" s="19" t="str">
        <x:v>R03</x:v>
      </x:c>
      <x:c r="B7" s="19" t="str">
        <x:v>Section/Sub-Section</x:v>
      </x:c>
      <x:c r="C7" s="19" t="str">
        <x:v>Blank Excel cells</x:v>
      </x:c>
      <x:c r="D7" s="19" t="str">
        <x:v>Normalize blank values to literal N/A before pairing/persistence.</x:v>
      </x:c>
      <x:c r="E7" s="19" t="str">
        <x:v>Valid scope values instead of rejected row.</x:v>
      </x:c>
      <x:c r="F7" s="19" t="str">
        <x:v>blank / blank → N/A / N/A</x:v>
      </x:c>
      <x:c r="G7" s="19" t="str">
        <x:v>UI Create/Edit can still enforce interactive mandatory entry.</x:v>
      </x:c>
    </x:row>
    <x:row r="8">
      <x:c r="A8" s="19" t="str">
        <x:v>R04</x:v>
      </x:c>
      <x:c r="B8" s="19" t="str">
        <x:v>Scope pairing</x:v>
      </x:c>
      <x:c r="C8" s="19" t="str">
        <x:v>Pipe-separated Section/Sub-Section</x:v>
      </x:c>
      <x:c r="D8" s="19" t="str">
        <x:v>Pair positionally; if one side has one value, broadcast it across the other; unequal multi-value counts are rejected.</x:v>
      </x:c>
      <x:c r="E8" s="19" t="str">
        <x:v>One scope record per pair.</x:v>
      </x:c>
      <x:c r="F8" s="19" t="str">
        <x:v>Assets|Liabilities + Current|Non Current → 2 scopes</x:v>
      </x:c>
      <x:c r="G8" s="19" t="str">
        <x:v>Ambiguous unequal multi-value counts are rejected.</x:v>
      </x:c>
    </x:row>
    <x:row r="9">
      <x:c r="A9" s="19" t="str">
        <x:v>R05</x:v>
      </x:c>
      <x:c r="B9" s="19" t="str">
        <x:v>Scoped fields</x:v>
      </x:c>
      <x:c r="C9" s="19" t="str">
        <x:v>Calculation Logic, Segment, Report Type, Definition, Description, Display Order, Tech Logic, Examples, Display Name</x:v>
      </x:c>
      <x:c r="D9" s="19" t="str">
        <x:v>Single value broadcasts to all scope pairs; multiple values must match pair count.</x:v>
      </x:c>
      <x:c r="E9" s="19" t="str">
        <x:v>Each scope gets its own aligned value.</x:v>
      </x:c>
      <x:c r="F9" s="19" t="str">
        <x:v>10|20 aligns to two pairs</x:v>
      </x:c>
      <x:c r="G9" s="19" t="str">
        <x:v>Mismatched counts are rejected.</x:v>
      </x:c>
    </x:row>
    <x:row r="10">
      <x:c r="A10" s="19" t="str">
        <x:v>R06</x:v>
      </x:c>
      <x:c r="B10" s="19" t="str">
        <x:v>Display Order</x:v>
      </x:c>
      <x:c r="C10" s="19" t="str">
        <x:v>Excel/UI</x:v>
      </x:c>
      <x:c r="D10" s="19" t="str">
        <x:v>Display Order must be numeric and required for each scope.</x:v>
      </x:c>
      <x:c r="E10" s="19" t="str">
        <x:v>Integer stored in Attribute Display.</x:v>
      </x:c>
      <x:c r="F10" s="19" t="str">
        <x:v>10|20</x:v>
      </x:c>
      <x:c r="G10" s="19" t="str">
        <x:v>Blank/non-numeric bulk value is rejected.</x:v>
      </x:c>
    </x:row>
    <x:row r="11">
      <x:c r="A11" s="19" t="str">
        <x:v>R07</x:v>
      </x:c>
      <x:c r="B11" s="19" t="str">
        <x:v>Calculated/Reported</x:v>
      </x:c>
      <x:c r="C11" s="19" t="str">
        <x:v>Calculated / Reported / Repeated</x:v>
      </x:c>
      <x:c r="D11" s="19" t="str">
        <x:v>Calculated → Calculated; Reported → Reported; Repeated retains original type where available.</x:v>
      </x:c>
      <x:c r="E11" s="19" t="str">
        <x:v>Normalized attribute_type.</x:v>
      </x:c>
      <x:c r="F11" s="19" t="str">
        <x:v>Repeated existing Calculated → Calculated</x:v>
      </x:c>
      <x:c r="G11" s="19" t="str">
        <x:v>Unknown text falls back to normalized input or Reported.</x:v>
      </x:c>
    </x:row>
    <x:row r="12">
      <x:c r="A12" s="19" t="str">
        <x:v>R08</x:v>
      </x:c>
      <x:c r="B12" s="19" t="str">
        <x:v>Editable</x:v>
      </x:c>
      <x:c r="C12" s="19" t="str">
        <x:v>Derived from Calculated/Reported</x:v>
      </x:c>
      <x:c r="D12" s="19" t="str">
        <x:v>Calculated → N; Reported/Repeated → Y.</x:v>
      </x:c>
      <x:c r="E12" s="19" t="str">
        <x:v>Business Rules.editable populated automatically.</x:v>
      </x:c>
      <x:c r="F12" s="19" t="str">
        <x:v>Calculated → N</x:v>
      </x:c>
      <x:c r="G12" s="19" t="str">
        <x:v>Not directly controlled by standard Excel template.</x:v>
      </x:c>
    </x:row>
    <x:row r="13">
      <x:c r="A13" s="19" t="str">
        <x:v>R09</x:v>
      </x:c>
      <x:c r="B13" s="19" t="str">
        <x:v>Tech Logic</x:v>
      </x:c>
      <x:c r="C13" s="19" t="str">
        <x:v>Tech Logic blank</x:v>
      </x:c>
      <x:c r="D13" s="19" t="str">
        <x:v>Generate from Calculation Logic by retaining PRJ references, functions, operators and grouping while removing descriptive labels.</x:v>
      </x:c>
      <x:c r="E13" s="19" t="str">
        <x:v>Compact machine-readable business_logic.</x:v>
      </x:c>
      <x:c r="F13" s="19" t="str">
        <x:v>Total(PRJ1)=EBITDA(PRJ2)+Debt(PRJ3) → PRJ1 = PRJ2+PRJ3</x:v>
      </x:c>
      <x:c r="G13" s="19" t="str">
        <x:v>If no calculation logic / NA, tech logic becomes NA.</x:v>
      </x:c>
    </x:row>
    <x:row r="14">
      <x:c r="A14" s="19" t="str">
        <x:v>R10</x:v>
      </x:c>
      <x:c r="B14" s="19" t="str">
        <x:v>Display Name</x:v>
      </x:c>
      <x:c r="C14" s="19" t="str">
        <x:v>Display Name blank</x:v>
      </x:c>
      <x:c r="D14" s="19" t="str">
        <x:v>Default to PRJ Attribute Name.</x:v>
      </x:c>
      <x:c r="E14" s="19" t="str">
        <x:v>Display name always usable.</x:v>
      </x:c>
      <x:c r="F14" s="19" t="str">
        <x:v>Total Assets → Total Assets</x:v>
      </x:c>
      <x:c r="G14" s="19" t="str">
        <x:v>User may override per scope.</x:v>
      </x:c>
    </x:row>
    <x:row r="15">
      <x:c r="A15" s="19" t="str">
        <x:v>R11</x:v>
      </x:c>
      <x:c r="B15" s="19" t="str">
        <x:v>Defaults</x:v>
      </x:c>
      <x:c r="C15" s="19" t="str">
        <x:v>Blank optional fields</x:v>
      </x:c>
      <x:c r="D15" s="19" t="str">
        <x:v>Calculation Logic, Segment, Report Type default to NA; Section/Sub-Section default to N/A for bulk; optional text fields may remain NULL.</x:v>
      </x:c>
      <x:c r="E15" s="19" t="str">
        <x:v>Consistent persistence.</x:v>
      </x:c>
      <x:c r="F15" s="19" t="str">
        <x:v>blank Report Type → NA</x:v>
      </x:c>
      <x:c r="G15" s="19" t="str">
        <x:v>Mandatory fields still validated.</x:v>
      </x:c>
    </x:row>
    <x:row r="16">
      <x:c r="A16" s="19" t="str">
        <x:v>R12</x:v>
      </x:c>
      <x:c r="B16" s="19" t="str">
        <x:v>Portfolio</x:v>
      </x:c>
      <x:c r="C16" s="19" t="str">
        <x:v>Portfolio selection</x:v>
      </x:c>
      <x:c r="D16" s="19" t="str">
        <x:v>Resolve label to prj_dbd.prj_portfolio_reference.port_ref_id.</x:v>
      </x:c>
      <x:c r="E16" s="19" t="str">
        <x:v>Business Rules stores integer port_ref_id.</x:v>
      </x:c>
      <x:c r="F16" s="19" t="str">
        <x:v>FI Banks → 1</x:v>
      </x:c>
      <x:c r="G16" s="19" t="str">
        <x:v>Unknown portfolio causes validation error.</x:v>
      </x:c>
    </x:row>
    <x:row r="17">
      <x:c r="A17" s="19" t="str">
        <x:v>R13</x:v>
      </x:c>
      <x:c r="B17" s="19" t="str">
        <x:v>Source</x:v>
      </x:c>
      <x:c r="C17" s="19" t="str">
        <x:v>Source selection</x:v>
      </x:c>
      <x:c r="D17" s="19" t="str">
        <x:v>Read source_code/source_name from prj_dbd.prj_data_sources; store source_code as source_abbr_name.</x:v>
      </x:c>
      <x:c r="E17" s="19" t="str">
        <x:v>Canonical source key persisted.</x:v>
      </x:c>
      <x:c r="F17" s="19" t="str">
        <x:v>SNPAR[S&amp;P Source] → SNPAR</x:v>
      </x:c>
      <x:c r="G17" s="19" t="str">
        <x:v>Invalid source handled by lookup validation.</x:v>
      </x:c>
    </x:row>
    <x:row r="18">
      <x:c r="A18" s="19" t="str">
        <x:v>R14</x:v>
      </x:c>
      <x:c r="B18" s="19" t="str">
        <x:v>Finalize</x:v>
      </x:c>
      <x:c r="C18" s="19" t="str">
        <x:v>Yes Upload</x:v>
      </x:c>
      <x:c r="D18" s="19" t="str">
        <x:v>Compare selected staging against selected final tables, publish transactionally, audit, then clear staging only after success.</x:v>
      </x:c>
      <x:c r="E18" s="19" t="str">
        <x:v>Final tables updated safely.</x:v>
      </x:c>
      <x:c r="F18" s="19" t="str">
        <x:v>23 PRJ IDs finalized</x:v>
      </x:c>
      <x:c r="G18" s="19" t="str">
        <x:v>On failure transaction rolls back and staging remains.</x:v>
      </x:c>
    </x:row>
    <x:row r="19">
      <x:c r="A19" s="19" t="str">
        <x:v>R15</x:v>
      </x:c>
      <x:c r="B19" s="19" t="str">
        <x:v>Discard Finalize</x:v>
      </x:c>
      <x:c r="C19" s="19" t="str">
        <x:v>Selected pending PRJ IDs</x:v>
      </x:c>
      <x:c r="D19" s="19" t="str">
        <x:v>Remove selected staging Master/Business/Display changes; keep Final unchanged. New PRJ raw row is also removed.</x:v>
      </x:c>
      <x:c r="E19" s="19" t="str">
        <x:v>Selected changes revert to Final state.</x:v>
      </x:c>
      <x:c r="F19" s="19" t="str">
        <x:v>Discard PRJ102 only</x:v>
      </x:c>
      <x:c r="G19" s="19" t="str">
        <x:v>Final data is never modified by discard.</x:v>
      </x:c>
    </x:row>
    <x:row r="20">
      <x:c r="A20" s="19" t="str">
        <x:v>R16</x:v>
      </x:c>
      <x:c r="B20" s="19" t="str">
        <x:v>Custom table names</x:v>
      </x:c>
      <x:c r="C20" s="19" t="str">
        <x:v>Sidebar override</x:v>
      </x:c>
      <x:c r="D20" s="19" t="str">
        <x:v>Only the six Staging/Final basenames are configurable; request headers redirect ORM/Finalize to selected tables.</x:v>
      </x:c>
      <x:c r="E20" s="19" t="str">
        <x:v>Same business logic works against chosen tables.</x:v>
      </x:c>
      <x:c r="F20" s="19" t="str">
        <x:v>Final master prj_attribute_master</x:v>
      </x:c>
      <x:c r="G20" s="19" t="str">
        <x:v>Physical target must already exist with expected columns.</x:v>
      </x:c>
    </x:row>
    <x:row r="21">
      <x:c r="A21" s="19" t="str">
        <x:v>R17</x:v>
      </x:c>
      <x:c r="B21" s="19" t="str">
        <x:v>PostgreSQL master Segment</x:v>
      </x:c>
      <x:c r="C21" s="19" t="str">
        <x:v>PostgreSQL database</x:v>
      </x:c>
      <x:c r="D21" s="19" t="str">
        <x:v>Shared logical master field translates to physical segment.</x:v>
      </x:c>
      <x:c r="E21" s="19" t="str">
        <x:v>No stale where_in_financial_statement SQL on PostgreSQL.</x:v>
      </x:c>
      <x:c r="F21" s="19" t="str">
        <x:v>prj_dbd.&lt;master&gt;.segment</x:v>
      </x:c>
      <x:c r="G21" s="19" t="str">
        <x:v>SQL Server continues using where_in_financial_statement.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ab2a06905cdf4ea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8" hidden="0" customWidth="1"/>
    <x:col min="4" max="4" width="34" hidden="0" customWidth="1"/>
    <x:col min="5" max="5" width="28" hidden="0" customWidth="1"/>
    <x:col min="6" max="6" width="38" hidden="0" customWidth="1"/>
    <x:col min="7" max="7" width="52" hidden="0" customWidth="1"/>
  </x:cols>
  <x:sheetData>
    <x:row r="1">
      <x:c r="A1" s="5" t="str">
        <x:v>Reference / Lookup Mapping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26" t="str">
        <x:v>Lookup</x:v>
      </x:c>
      <x:c r="B4" s="26" t="str">
        <x:v>PostgreSQL Table</x:v>
      </x:c>
      <x:c r="C4" s="26" t="str">
        <x:v>SQL Server Table</x:v>
      </x:c>
      <x:c r="D4" s="26" t="str">
        <x:v>Display Column(s)</x:v>
      </x:c>
      <x:c r="E4" s="26" t="str">
        <x:v>Stored Column</x:v>
      </x:c>
      <x:c r="F4" s="26" t="str">
        <x:v>Used By</x:v>
      </x:c>
      <x:c r="G4" s="26" t="str">
        <x:v>Logic / Notes</x:v>
      </x:c>
    </x:row>
    <x:row r="5">
      <x:c r="A5" s="19" t="str">
        <x:v>Portfolio / Scope</x:v>
      </x:c>
      <x:c r="B5" s="19" t="str">
        <x:v>prj_dbd.prj_portfolio_reference</x:v>
      </x:c>
      <x:c r="C5" s="19" t="str">
        <x:v>dbo.prj_portfolio_reference_new_test</x:v>
      </x:c>
      <x:c r="D5" s="19" t="str">
        <x:v>portfolio_name + sector_name (+ sub_sector)</x:v>
      </x:c>
      <x:c r="E5" s="19" t="str">
        <x:v>port_ref_id</x:v>
      </x:c>
      <x:c r="F5" s="19" t="str">
        <x:v>Create/Edit, Bulk, Filters, Business Rules</x:v>
      </x:c>
      <x:c r="G5" s="19" t="str">
        <x:v>PostgreSQL uses prj_portfolio_reference. remarks is the current notes column.</x:v>
      </x:c>
    </x:row>
    <x:row r="6">
      <x:c r="A6" s="19" t="str">
        <x:v>Source</x:v>
      </x:c>
      <x:c r="B6" s="19" t="str">
        <x:v>prj_dbd.prj_data_sources</x:v>
      </x:c>
      <x:c r="C6" s="19" t="str">
        <x:v>dbo.prj_data_sources</x:v>
      </x:c>
      <x:c r="D6" s="19" t="str">
        <x:v>source_code[source_name]</x:v>
      </x:c>
      <x:c r="E6" s="19" t="str">
        <x:v>source_code → source_abbr_name</x:v>
      </x:c>
      <x:c r="F6" s="19" t="str">
        <x:v>Create/Edit, Bulk, Filters, Business Rules</x:v>
      </x:c>
      <x:c r="G6" s="19" t="str">
        <x:v>External/read-only reference table from application perspective.</x:v>
      </x:c>
    </x:row>
    <x:row r="7">
      <x:c r="A7" s="19" t="str">
        <x:v>Audit</x:v>
      </x:c>
      <x:c r="B7" s="19" t="str">
        <x:v>prj_dbd.audit_table_new_test</x:v>
      </x:c>
      <x:c r="C7" s="19" t="str">
        <x:v>dbo.audit_table_new_test</x:v>
      </x:c>
      <x:c r="D7" s="19" t="str">
        <x:v>schema_name, table_name, action, before/after</x:v>
      </x:c>
      <x:c r="E7" s="19" t="str">
        <x:v>audit_id + record_key</x:v>
      </x:c>
      <x:c r="F7" s="19" t="str">
        <x:v>Finalize / governed changes</x:v>
      </x:c>
      <x:c r="G7" s="19" t="str">
        <x:v>Governance mapping rather than dropdown lookup.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1eed6647989041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42" hidden="0" customWidth="1"/>
    <x:col min="5" max="5" width="42" hidden="0" customWidth="1"/>
    <x:col min="6" max="6" width="34" hidden="0" customWidth="1"/>
    <x:col min="7" max="7" width="44" hidden="0" customWidth="1"/>
    <x:col min="8" max="8" width="34" hidden="0" customWidth="1"/>
  </x:cols>
  <x:sheetData>
    <x:row r="1">
      <x:c r="A1" s="5" t="str">
        <x:v>Worked Example – 'Total Assets'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6" t="str">
        <x:v>Stage</x:v>
      </x:c>
      <x:c r="B4" s="26" t="str">
        <x:v>Input / Value</x:v>
      </x:c>
      <x:c r="C4" s="26" t="str">
        <x:v>Master</x:v>
      </x:c>
      <x:c r="D4" s="26" t="str">
        <x:v>Business Rules</x:v>
      </x:c>
      <x:c r="E4" s="26" t="str">
        <x:v>Display</x:v>
      </x:c>
      <x:c r="F4" s="26" t="str">
        <x:v>Reference Resolution</x:v>
      </x:c>
      <x:c r="G4" s="26" t="str">
        <x:v>Logic</x:v>
      </x:c>
      <x:c r="H4" s="26" t="str">
        <x:v>Result</x:v>
      </x:c>
    </x:row>
    <x:row r="5">
      <x:c r="A5" s="19" t="str">
        <x:v>Excel Input</x:v>
      </x:c>
      <x:c r="B5" s="19" t="str">
        <x:v>PRJ1024 / Total Assets / physical blank</x:v>
      </x:c>
      <x:c r="C5" s="19" t="str">
        <x:v>—</x:v>
      </x:c>
      <x:c r="D5" s="19" t="str">
        <x:v>—</x:v>
      </x:c>
      <x:c r="E5" s="19" t="str">
        <x:v>Section=Assets; Sub-Section=N/A</x:v>
      </x:c>
      <x:c r="F5" s="19" t="str">
        <x:v>Portfolio=FI Banks; Source=SNPAR</x:v>
      </x:c>
      <x:c r="G5" s="19" t="str">
        <x:v>Blank physical name triggers generator</x:v>
      </x:c>
      <x:c r="H5" s="19" t="str">
        <x:v>Normalized request</x:v>
      </x:c>
    </x:row>
    <x:row r="6">
      <x:c r="A6" s="19" t="str">
        <x:v>Raw</x:v>
      </x:c>
      <x:c r="B6" s="19" t="str">
        <x:v>tot_assets generated</x:v>
      </x:c>
      <x:c r="C6" s="19" t="str">
        <x:v>prj_id, name, physical, segment</x:v>
      </x:c>
      <x:c r="D6" s="19" t="str">
        <x:v>—</x:v>
      </x:c>
      <x:c r="E6" s="19" t="str">
        <x:v>section/sub_section retained in raw</x:v>
      </x:c>
      <x:c r="F6" s="19" t="str">
        <x:v>Portfolio label retained</x:v>
      </x:c>
      <x:c r="G6" s="19" t="str">
        <x:v>Check uniqueness across Raw + Staging + Final + batch</x:v>
      </x:c>
      <x:c r="H6" s="19" t="str">
        <x:v>Raw row staged</x:v>
      </x:c>
    </x:row>
    <x:row r="7">
      <x:c r="A7" s="19" t="str">
        <x:v>Staging</x:v>
      </x:c>
      <x:c r="B7" s="19" t="str">
        <x:v>Normalized scope</x:v>
      </x:c>
      <x:c r="C7" s="19" t="str">
        <x:v>PRJ1024, Total Assets, tot_assets, segment=NA</x:v>
      </x:c>
      <x:c r="D7" s="19" t="str">
        <x:v>scope_id, port_ref_id, source_abbr_name, attribute_type, editable, calculation/business logic</x:v>
      </x:c>
      <x:c r="E7" s="19" t="str">
        <x:v>display_id, section=Assets, subsection=N/A, display_order, display_name, report_type</x:v>
      </x:c>
      <x:c r="F7" s="19" t="str">
        <x:v>FI Banks→port_ref_id; SNPAR→source_code</x:v>
      </x:c>
      <x:c r="G7" s="19" t="str">
        <x:v>Scope-specific values split across Business + Display</x:v>
      </x:c>
      <x:c r="H7" s="19" t="str">
        <x:v>Pending change visible in Finalize</x:v>
      </x:c>
    </x:row>
    <x:row r="8">
      <x:c r="A8" s="19" t="str">
        <x:v>Finalize</x:v>
      </x:c>
      <x:c r="B8" s="19" t="str">
        <x:v>Yes Upload</x:v>
      </x:c>
      <x:c r="C8" s="19" t="str">
        <x:v>Copy/merge into Final Master</x:v>
      </x:c>
      <x:c r="D8" s="19" t="str">
        <x:v>Copy/merge into Final Business Rules</x:v>
      </x:c>
      <x:c r="E8" s="19" t="str">
        <x:v>Copy/merge into Final Display</x:v>
      </x:c>
      <x:c r="F8" s="19" t="str">
        <x:v>Validate portfolio FK</x:v>
      </x:c>
      <x:c r="G8" s="19" t="str">
        <x:v>Transactional publish + audit; clear staging after success</x:v>
      </x:c>
      <x:c r="H8" s="19" t="str">
        <x:v>Final data published</x:v>
      </x:c>
    </x:row>
    <x:row r="9">
      <x:c r="A9" s="19" t="str">
        <x:v>Discard alternative</x:v>
      </x:c>
      <x:c r="B9" s="19" t="str">
        <x:v>Select PRJ1024 → Discard Finalize</x:v>
      </x:c>
      <x:c r="C9" s="19" t="str">
        <x:v>Final unchanged</x:v>
      </x:c>
      <x:c r="D9" s="19" t="str">
        <x:v>Final unchanged</x:v>
      </x:c>
      <x:c r="E9" s="19" t="str">
        <x:v>Final unchanged</x:v>
      </x:c>
      <x:c r="F9" s="19" t="str">
        <x:v>—</x:v>
      </x:c>
      <x:c r="G9" s="19" t="str">
        <x:v>Remove selected staging; new raw row also removed</x:v>
      </x:c>
      <x:c r="H9" s="19" t="str">
        <x:v>Change reverted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28ef04d484db40a8"/>
  </x:tableParts>
</x:worksheet>
</file>